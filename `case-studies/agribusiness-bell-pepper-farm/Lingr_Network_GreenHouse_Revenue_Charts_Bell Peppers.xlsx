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nzo\Music\group2\"/>
    </mc:Choice>
  </mc:AlternateContent>
  <xr:revisionPtr revIDLastSave="0" documentId="13_ncr:1_{5A5731CC-A152-4CE6-AD6D-B6C14CF8579F}" xr6:coauthVersionLast="47" xr6:coauthVersionMax="47" xr10:uidLastSave="{00000000-0000-0000-0000-000000000000}"/>
  <bookViews>
    <workbookView xWindow="-110" yWindow="-110" windowWidth="22620" windowHeight="13500" xr2:uid="{F14BA6C3-64C0-4228-901D-0AFC4927B4E4}"/>
  </bookViews>
  <sheets>
    <sheet name="Sales Log" sheetId="1" r:id="rId1"/>
    <sheet name="Revenue Comparison" sheetId="3" r:id="rId2"/>
    <sheet name="Chart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" i="4" l="1"/>
  <c r="H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6" i="4"/>
  <c r="C11" i="3"/>
  <c r="C10" i="3"/>
  <c r="J37" i="1"/>
  <c r="K37" i="1"/>
  <c r="L37" i="1"/>
  <c r="I37" i="1"/>
  <c r="L26" i="1"/>
  <c r="L27" i="1"/>
  <c r="L28" i="1"/>
  <c r="L29" i="1"/>
  <c r="L30" i="1"/>
  <c r="L31" i="1"/>
  <c r="L32" i="1"/>
  <c r="L33" i="1"/>
  <c r="L34" i="1"/>
  <c r="L25" i="1"/>
  <c r="K26" i="1"/>
  <c r="K27" i="1"/>
  <c r="K28" i="1"/>
  <c r="K29" i="1"/>
  <c r="K30" i="1"/>
  <c r="K31" i="1"/>
  <c r="K32" i="1"/>
  <c r="K33" i="1"/>
  <c r="K34" i="1"/>
  <c r="K25" i="1"/>
  <c r="J26" i="1"/>
  <c r="J27" i="1"/>
  <c r="J28" i="1"/>
  <c r="J29" i="1"/>
  <c r="J30" i="1"/>
  <c r="J31" i="1"/>
  <c r="J32" i="1"/>
  <c r="J33" i="1"/>
  <c r="J34" i="1"/>
  <c r="J25" i="1"/>
  <c r="L21" i="1"/>
  <c r="J21" i="1"/>
  <c r="I21" i="1"/>
  <c r="K21" i="1"/>
  <c r="L7" i="1"/>
  <c r="L8" i="1"/>
  <c r="L9" i="1"/>
  <c r="L10" i="1"/>
  <c r="L11" i="1"/>
  <c r="L12" i="1"/>
  <c r="L13" i="1"/>
  <c r="L14" i="1"/>
  <c r="L15" i="1"/>
  <c r="L16" i="1"/>
  <c r="L17" i="1"/>
  <c r="L6" i="1"/>
  <c r="K7" i="1"/>
  <c r="K8" i="1"/>
  <c r="K9" i="1"/>
  <c r="K10" i="1"/>
  <c r="K11" i="1"/>
  <c r="K12" i="1"/>
  <c r="K13" i="1"/>
  <c r="K14" i="1"/>
  <c r="K15" i="1"/>
  <c r="K16" i="1"/>
  <c r="K17" i="1"/>
  <c r="K6" i="1"/>
  <c r="J7" i="1"/>
  <c r="J8" i="1"/>
  <c r="J9" i="1"/>
  <c r="J10" i="1"/>
  <c r="J11" i="1"/>
  <c r="J12" i="1"/>
  <c r="J13" i="1"/>
  <c r="J14" i="1"/>
  <c r="J15" i="1"/>
  <c r="J16" i="1"/>
  <c r="J17" i="1"/>
  <c r="J6" i="1"/>
</calcChain>
</file>

<file path=xl/sharedStrings.xml><?xml version="1.0" encoding="utf-8"?>
<sst xmlns="http://schemas.openxmlformats.org/spreadsheetml/2006/main" count="93" uniqueCount="46">
  <si>
    <t>Day</t>
  </si>
  <si>
    <t>Date</t>
  </si>
  <si>
    <t>Era</t>
  </si>
  <si>
    <t>Uplift (₦)</t>
  </si>
  <si>
    <t>July Sales &amp; Revenue</t>
  </si>
  <si>
    <t>Friday</t>
  </si>
  <si>
    <t>Red</t>
  </si>
  <si>
    <t>Green</t>
  </si>
  <si>
    <t>Thursday</t>
  </si>
  <si>
    <t>Monday</t>
  </si>
  <si>
    <t>After Lingr Network(Kg)</t>
  </si>
  <si>
    <t>Kg Sold</t>
  </si>
  <si>
    <t xml:space="preserve">Color </t>
  </si>
  <si>
    <t>Sales Log Bell Pepper -  Revenue Analysis (Lingr Network)</t>
  </si>
  <si>
    <t>Before Lingr Network (Kg)</t>
  </si>
  <si>
    <t>Revenue Before</t>
  </si>
  <si>
    <t>Revenue  After</t>
  </si>
  <si>
    <t>Before Lingr Network: avg price ₦6,500/kg  |  After Lingr Network: Restaurant ₦8,400/kg  (July)</t>
  </si>
  <si>
    <t>Total</t>
  </si>
  <si>
    <t>August Sales &amp; Revenue</t>
  </si>
  <si>
    <t>Metric</t>
  </si>
  <si>
    <t>Before Lingr</t>
  </si>
  <si>
    <t>After Lingr</t>
  </si>
  <si>
    <t>Revenue Uplift (₦)</t>
  </si>
  <si>
    <t>Revenue Impact - Before vs After Lingr Network</t>
  </si>
  <si>
    <t>Total Kg Sold</t>
  </si>
  <si>
    <t>-</t>
  </si>
  <si>
    <t>Average Price/Kg- Before (₦)</t>
  </si>
  <si>
    <t>Avegage Price/Kg - After (₦)</t>
  </si>
  <si>
    <t>Total Revenue - Before (₦)</t>
  </si>
  <si>
    <t>Total Revenue - After (₦)</t>
  </si>
  <si>
    <t xml:space="preserve">% Revenue Increase </t>
  </si>
  <si>
    <t>Harvest Date</t>
  </si>
  <si>
    <t>Revenue Before (₦)</t>
  </si>
  <si>
    <t>Revenue After (₦)</t>
  </si>
  <si>
    <t>Total kg</t>
  </si>
  <si>
    <t>Total Revenue (₦)</t>
  </si>
  <si>
    <t>Customer</t>
  </si>
  <si>
    <t>Weekly Rev (₦)</t>
  </si>
  <si>
    <t>Annual Rev (₦)</t>
  </si>
  <si>
    <t>Before Lingr Network</t>
  </si>
  <si>
    <t>After Lingr Network (same Kg)</t>
  </si>
  <si>
    <t>Restaurant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</si>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</sst>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_-* #,##0_-;\-* #,##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/>
    <xf numFmtId="0" fontId="4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15" fontId="7" fillId="0" borderId="1" xfId="0" applyNumberFormat="1" applyFont="1" applyBorder="1" applyAlignment="1">
      <alignment horizontal="right" wrapText="1"/>
    </xf>
    <xf numFmtId="3" fontId="0" fillId="0" borderId="0" xfId="0" applyNumberFormat="1"/>
    <xf numFmtId="0" fontId="7" fillId="0" borderId="1" xfId="0" applyFont="1" applyBorder="1" applyAlignment="1">
      <alignment horizontal="right" wrapText="1"/>
    </xf>
    <xf numFmtId="16" fontId="7" fillId="0" borderId="1" xfId="0" applyNumberFormat="1" applyFont="1" applyBorder="1" applyAlignment="1">
      <alignment horizontal="right" wrapText="1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169" fontId="4" fillId="0" borderId="0" xfId="1" applyNumberFormat="1" applyFont="1" applyAlignment="1">
      <alignment horizontal="center" vertical="center" wrapText="1"/>
    </xf>
    <xf numFmtId="169" fontId="0" fillId="0" borderId="0" xfId="1" applyNumberFormat="1" applyFont="1"/>
    <xf numFmtId="169" fontId="7" fillId="0" borderId="1" xfId="1" applyNumberFormat="1" applyFont="1" applyBorder="1" applyAlignment="1">
      <alignment horizontal="right" wrapText="1"/>
    </xf>
    <xf numFmtId="169" fontId="3" fillId="0" borderId="0" xfId="1" applyNumberFormat="1" applyFont="1" applyAlignment="1"/>
    <xf numFmtId="169" fontId="7" fillId="0" borderId="0" xfId="1" applyNumberFormat="1" applyFont="1" applyFill="1" applyBorder="1" applyAlignment="1">
      <alignment horizontal="right" wrapText="1"/>
    </xf>
    <xf numFmtId="9" fontId="0" fillId="0" borderId="0" xfId="2" applyFont="1"/>
    <xf numFmtId="169" fontId="0" fillId="0" borderId="0" xfId="0" applyNumberFormat="1"/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Revenue</a:t>
            </a:r>
            <a:r>
              <a:rPr lang="en-GB" b="1" baseline="0"/>
              <a:t> Per Sale: Before vs After Lingr Network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Charts!$B$4</c:f>
              <c:strCache>
                <c:ptCount val="1"/>
                <c:pt idx="0">
                  <c:v> Revenue Before (₦)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Charts!$B$5:$B$27</c:f>
              <c:numCache>
                <c:formatCode>_-* #,##0_-;\-* #,##0_-;_-* "-"??_-;_-@_-</c:formatCode>
                <c:ptCount val="23"/>
                <c:pt idx="1">
                  <c:v>18000</c:v>
                </c:pt>
                <c:pt idx="2">
                  <c:v>15000</c:v>
                </c:pt>
                <c:pt idx="3">
                  <c:v>42000</c:v>
                </c:pt>
                <c:pt idx="4">
                  <c:v>18000</c:v>
                </c:pt>
                <c:pt idx="5">
                  <c:v>49000</c:v>
                </c:pt>
                <c:pt idx="6">
                  <c:v>14000</c:v>
                </c:pt>
                <c:pt idx="7">
                  <c:v>21000</c:v>
                </c:pt>
                <c:pt idx="8">
                  <c:v>49000</c:v>
                </c:pt>
                <c:pt idx="9">
                  <c:v>21000</c:v>
                </c:pt>
                <c:pt idx="10">
                  <c:v>49000</c:v>
                </c:pt>
                <c:pt idx="11">
                  <c:v>21000</c:v>
                </c:pt>
                <c:pt idx="12">
                  <c:v>49000</c:v>
                </c:pt>
                <c:pt idx="13">
                  <c:v>21000</c:v>
                </c:pt>
                <c:pt idx="14">
                  <c:v>35000</c:v>
                </c:pt>
                <c:pt idx="15">
                  <c:v>19500</c:v>
                </c:pt>
                <c:pt idx="16">
                  <c:v>45500</c:v>
                </c:pt>
                <c:pt idx="17">
                  <c:v>19500</c:v>
                </c:pt>
                <c:pt idx="18">
                  <c:v>45500</c:v>
                </c:pt>
                <c:pt idx="19">
                  <c:v>15000</c:v>
                </c:pt>
                <c:pt idx="20">
                  <c:v>20000</c:v>
                </c:pt>
                <c:pt idx="21">
                  <c:v>40000</c:v>
                </c:pt>
                <c:pt idx="22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C-4F2A-AF6F-A37350CB7CB2}"/>
            </c:ext>
          </c:extLst>
        </c:ser>
        <c:ser>
          <c:idx val="1"/>
          <c:order val="1"/>
          <c:tx>
            <c:strRef>
              <c:f>Charts!$C$4</c:f>
              <c:strCache>
                <c:ptCount val="1"/>
                <c:pt idx="0">
                  <c:v> Revenue After (₦)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Charts!$C$5:$C$27</c:f>
              <c:numCache>
                <c:formatCode>_-* #,##0_-;\-* #,##0_-;_-* "-"??_-;_-@_-</c:formatCode>
                <c:ptCount val="23"/>
                <c:pt idx="1">
                  <c:v>24000</c:v>
                </c:pt>
                <c:pt idx="2">
                  <c:v>22500</c:v>
                </c:pt>
                <c:pt idx="3">
                  <c:v>52500</c:v>
                </c:pt>
                <c:pt idx="4">
                  <c:v>24000</c:v>
                </c:pt>
                <c:pt idx="5">
                  <c:v>52500</c:v>
                </c:pt>
                <c:pt idx="6">
                  <c:v>16000</c:v>
                </c:pt>
                <c:pt idx="7">
                  <c:v>27000</c:v>
                </c:pt>
                <c:pt idx="8">
                  <c:v>63000</c:v>
                </c:pt>
                <c:pt idx="9">
                  <c:v>27000</c:v>
                </c:pt>
                <c:pt idx="10">
                  <c:v>63000</c:v>
                </c:pt>
                <c:pt idx="11">
                  <c:v>27000</c:v>
                </c:pt>
                <c:pt idx="12">
                  <c:v>63000</c:v>
                </c:pt>
                <c:pt idx="13">
                  <c:v>28500</c:v>
                </c:pt>
                <c:pt idx="14">
                  <c:v>47500</c:v>
                </c:pt>
                <c:pt idx="15">
                  <c:v>28500</c:v>
                </c:pt>
                <c:pt idx="16">
                  <c:v>66500</c:v>
                </c:pt>
                <c:pt idx="17">
                  <c:v>28500</c:v>
                </c:pt>
                <c:pt idx="18">
                  <c:v>66500</c:v>
                </c:pt>
                <c:pt idx="19">
                  <c:v>28500</c:v>
                </c:pt>
                <c:pt idx="20">
                  <c:v>47500</c:v>
                </c:pt>
                <c:pt idx="21">
                  <c:v>90000</c:v>
                </c:pt>
                <c:pt idx="22">
                  <c:v>47500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AC-4F2A-AF6F-A37350CB7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267039"/>
        <c:axId val="369268959"/>
      </c:barChart>
      <c:catAx>
        <c:axId val="369267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Harvest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268959"/>
        <c:crosses val="autoZero"/>
        <c:auto val="1"/>
        <c:lblAlgn val="ctr"/>
        <c:lblOffset val="100"/>
        <c:noMultiLvlLbl val="0"/>
      </c:catAx>
      <c:valAx>
        <c:axId val="36926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Revenue (₦)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26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Harvest</a:t>
            </a:r>
            <a:r>
              <a:rPr lang="en-US" b="1" baseline="0"/>
              <a:t> Sales trend (Kg)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Charts!$E$4</c:f>
              <c:strCache>
                <c:ptCount val="1"/>
                <c:pt idx="0">
                  <c:v>Total kg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Charts!$E$5:$E$27</c:f>
              <c:numCache>
                <c:formatCode>General</c:formatCode>
                <c:ptCount val="23"/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3</c:v>
                </c:pt>
                <c:pt idx="5">
                  <c:v>7</c:v>
                </c:pt>
                <c:pt idx="6">
                  <c:v>2</c:v>
                </c:pt>
                <c:pt idx="7">
                  <c:v>3</c:v>
                </c:pt>
                <c:pt idx="8">
                  <c:v>7</c:v>
                </c:pt>
                <c:pt idx="9">
                  <c:v>3</c:v>
                </c:pt>
                <c:pt idx="10">
                  <c:v>7</c:v>
                </c:pt>
                <c:pt idx="11">
                  <c:v>3</c:v>
                </c:pt>
                <c:pt idx="12">
                  <c:v>7</c:v>
                </c:pt>
                <c:pt idx="13">
                  <c:v>3</c:v>
                </c:pt>
                <c:pt idx="14">
                  <c:v>5</c:v>
                </c:pt>
                <c:pt idx="15">
                  <c:v>3</c:v>
                </c:pt>
                <c:pt idx="16">
                  <c:v>7</c:v>
                </c:pt>
                <c:pt idx="17">
                  <c:v>3</c:v>
                </c:pt>
                <c:pt idx="18">
                  <c:v>7</c:v>
                </c:pt>
                <c:pt idx="19">
                  <c:v>3</c:v>
                </c:pt>
                <c:pt idx="20">
                  <c:v>5</c:v>
                </c:pt>
                <c:pt idx="21">
                  <c:v>10</c:v>
                </c:pt>
                <c:pt idx="22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F9-4BB0-B53A-0B4B2A37A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300639"/>
        <c:axId val="369296319"/>
      </c:scatterChart>
      <c:valAx>
        <c:axId val="369300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Harvest</a:t>
                </a:r>
                <a:r>
                  <a:rPr lang="en-GB" b="1" baseline="0"/>
                  <a:t> Date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296319"/>
        <c:crosses val="autoZero"/>
        <c:crossBetween val="midCat"/>
      </c:valAx>
      <c:valAx>
        <c:axId val="36929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Total 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300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Revenue Split: Before vs After Lingr Network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Charts!$H$5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Charts!$G$6:$G$7</c:f>
              <c:strCache>
                <c:ptCount val="2"/>
                <c:pt idx="0">
                  <c:v>Before Lingr Network</c:v>
                </c:pt>
                <c:pt idx="1">
                  <c:v>After Lingr Network (same Kg)</c:v>
                </c:pt>
              </c:strCache>
            </c:strRef>
          </c:cat>
          <c:val>
            <c:numRef>
              <c:f>Charts!$H$6:$H$7</c:f>
              <c:numCache>
                <c:formatCode>_-* #,##0_-;\-* #,##0_-;_-* "-"??_-;_-@_-</c:formatCode>
                <c:ptCount val="2"/>
                <c:pt idx="0">
                  <c:v>652000</c:v>
                </c:pt>
                <c:pt idx="1">
                  <c:v>941000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C-4845-B0F0-D7BE7AA09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-1" baseline="0">
                <a:solidFill>
                  <a:srgbClr val="000000"/>
                </a:solidFill>
                <a:latin typeface="Calibri"/>
              </a:rPr>
              <a:t>Revenue Uplift Per Sale (₦) — Secured by Lingr Network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Charts!$D$4</c:f>
              <c:strCache>
                <c:ptCount val="1"/>
                <c:pt idx="0">
                  <c:v> Uplift (₦)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Charts!$D$5:$D$27</c:f>
              <c:numCache>
                <c:formatCode>_-* #,##0_-;\-* #,##0_-;_-* "-"??_-;_-@_-</c:formatCode>
                <c:ptCount val="23"/>
                <c:pt idx="1">
                  <c:v>6000</c:v>
                </c:pt>
                <c:pt idx="2">
                  <c:v>7500</c:v>
                </c:pt>
                <c:pt idx="3">
                  <c:v>10500</c:v>
                </c:pt>
                <c:pt idx="4">
                  <c:v>6000</c:v>
                </c:pt>
                <c:pt idx="5">
                  <c:v>3500</c:v>
                </c:pt>
                <c:pt idx="6">
                  <c:v>2000</c:v>
                </c:pt>
                <c:pt idx="7">
                  <c:v>6000</c:v>
                </c:pt>
                <c:pt idx="8">
                  <c:v>14000</c:v>
                </c:pt>
                <c:pt idx="9">
                  <c:v>6000</c:v>
                </c:pt>
                <c:pt idx="10">
                  <c:v>14000</c:v>
                </c:pt>
                <c:pt idx="11">
                  <c:v>6000</c:v>
                </c:pt>
                <c:pt idx="12">
                  <c:v>14000</c:v>
                </c:pt>
                <c:pt idx="13">
                  <c:v>7500</c:v>
                </c:pt>
                <c:pt idx="14">
                  <c:v>12500</c:v>
                </c:pt>
                <c:pt idx="15">
                  <c:v>9000</c:v>
                </c:pt>
                <c:pt idx="16">
                  <c:v>21000</c:v>
                </c:pt>
                <c:pt idx="17">
                  <c:v>9000</c:v>
                </c:pt>
                <c:pt idx="18">
                  <c:v>21000</c:v>
                </c:pt>
                <c:pt idx="19">
                  <c:v>13500</c:v>
                </c:pt>
                <c:pt idx="20">
                  <c:v>27500</c:v>
                </c:pt>
                <c:pt idx="21">
                  <c:v>50000</c:v>
                </c:pt>
                <c:pt idx="22">
                  <c:v>22500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8-4501-8459-CE0BB3A965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9298719"/>
        <c:axId val="369300639"/>
      </c:barChart>
      <c:catAx>
        <c:axId val="369298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Harvest</a:t>
                </a:r>
                <a:r>
                  <a:rPr lang="en-GB" baseline="0"/>
                  <a:t> Date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300639"/>
        <c:crosses val="autoZero"/>
        <c:auto val="1"/>
        <c:lblAlgn val="ctr"/>
        <c:lblOffset val="100"/>
        <c:noMultiLvlLbl val="0"/>
      </c:catAx>
      <c:valAx>
        <c:axId val="36930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Uplift  (₦)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29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917574</xdr:colOff>
      <xdr:row>8</xdr:row>
      <xdr:rowOff>50800</xdr:rowOff>
    </xdr:from>
    <xdr:to>
      <xdr:col>14</xdr:col>
      <xdr:colOff>387350</xdr:colOff>
      <xdr:row>27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3894A-9F01-3CBB-335D-F20CCF61D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939800</xdr:colOff>
      <xdr:row>30</xdr:row>
      <xdr:rowOff>25400</xdr:rowOff>
    </xdr:from>
    <xdr:to>
      <xdr:col>14</xdr:col>
      <xdr:colOff>387350</xdr:colOff>
      <xdr:row>52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E11F82-DFB9-72B5-641A-BEE1859FD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11981</xdr:colOff>
      <xdr:row>8</xdr:row>
      <xdr:rowOff>35944</xdr:rowOff>
    </xdr:from>
    <xdr:to>
      <xdr:col>24</xdr:col>
      <xdr:colOff>416943</xdr:colOff>
      <xdr:row>27</xdr:row>
      <xdr:rowOff>59904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D3E46A-306B-568A-3298-6D2DFFE6D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11981</xdr:colOff>
      <xdr:row>30</xdr:row>
      <xdr:rowOff>35944</xdr:rowOff>
    </xdr:from>
    <xdr:to>
      <xdr:col>24</xdr:col>
      <xdr:colOff>407359</xdr:colOff>
      <xdr:row>52</xdr:row>
      <xdr:rowOff>23962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AAD621F-05F5-61CD-8880-6A6AEB5CA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947760-876D-4FBD-8E5B-6DD99D4A58BE}" name="Table1" displayName="Table1" ref="A1:C11" totalsRowShown="0" headerRowDxfId="0">
  <autoFilter ref="A1:C11" xr:uid="{FF947760-876D-4FBD-8E5B-6DD99D4A58BE}"/>
  <tableColumns count="3">
    <tableColumn id="1" xr3:uid="{79671DA3-347C-4514-B84D-A674FC41D01A}" name="Column1"/>
    <tableColumn id="2" xr3:uid="{DD4161BE-4043-4E62-8D42-20B00019027D}" name="Column2" dataDxfId="2"/>
    <tableColumn id="3" xr3:uid="{535C4B41-182B-4097-AD81-054EB3D0AF8F}" name="Column3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2302D-DCC4-4BBA-82AA-D2553F7CBD59}">
  <dimension ref="A1:Q37"/>
  <sheetViews>
    <sheetView tabSelected="1" topLeftCell="A3" zoomScale="80" workbookViewId="0">
      <selection activeCell="H19" sqref="H19"/>
    </sheetView>
  </sheetViews>
  <sheetFormatPr defaultRowHeight="14.5" x14ac:dyDescent="0.35"/>
  <cols>
    <col min="1" max="1" width="8.1796875" bestFit="1" customWidth="1"/>
    <col min="2" max="2" width="9.1796875" bestFit="1" customWidth="1"/>
    <col min="3" max="3" width="20.7265625" style="17" bestFit="1" customWidth="1"/>
    <col min="5" max="5" width="8.7265625" style="2"/>
    <col min="6" max="6" width="19.08984375" style="17" bestFit="1" customWidth="1"/>
    <col min="8" max="8" width="5.81640625" bestFit="1" customWidth="1"/>
    <col min="9" max="9" width="6.54296875" bestFit="1" customWidth="1"/>
    <col min="10" max="10" width="14.453125" style="17" customWidth="1"/>
    <col min="11" max="11" width="16.7265625" style="17" customWidth="1"/>
    <col min="12" max="12" width="11.1796875" style="17" bestFit="1" customWidth="1"/>
  </cols>
  <sheetData>
    <row r="1" spans="1:17" x14ac:dyDescent="0.35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  <c r="K1" s="19"/>
      <c r="L1" s="19"/>
      <c r="M1" s="5"/>
      <c r="N1" s="5"/>
      <c r="O1" s="5"/>
      <c r="P1" s="5"/>
      <c r="Q1" s="5"/>
    </row>
    <row r="2" spans="1:17" x14ac:dyDescent="0.35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4"/>
      <c r="N2" s="4"/>
      <c r="O2" s="4"/>
      <c r="P2" s="4"/>
      <c r="Q2" s="4"/>
    </row>
    <row r="3" spans="1:17" ht="26" x14ac:dyDescent="0.35">
      <c r="A3" s="6" t="s">
        <v>0</v>
      </c>
      <c r="B3" s="6" t="s">
        <v>1</v>
      </c>
      <c r="C3" s="16" t="s">
        <v>14</v>
      </c>
      <c r="D3" s="6"/>
      <c r="E3" s="6"/>
      <c r="F3" s="16" t="s">
        <v>10</v>
      </c>
      <c r="G3" s="6"/>
      <c r="H3" s="6" t="s">
        <v>12</v>
      </c>
      <c r="I3" s="6" t="s">
        <v>11</v>
      </c>
      <c r="J3" s="16" t="s">
        <v>15</v>
      </c>
      <c r="K3" s="16" t="s">
        <v>16</v>
      </c>
      <c r="L3" s="16" t="s">
        <v>3</v>
      </c>
      <c r="M3" s="4"/>
      <c r="N3" s="4"/>
      <c r="O3" s="4"/>
      <c r="P3" s="4"/>
      <c r="Q3" s="4"/>
    </row>
    <row r="4" spans="1:17" ht="15" thickBot="1" x14ac:dyDescent="0.4">
      <c r="A4" s="6"/>
      <c r="B4" s="6"/>
      <c r="C4" s="16"/>
      <c r="D4" s="6"/>
      <c r="E4" s="6"/>
      <c r="F4" s="16"/>
      <c r="G4" s="6"/>
      <c r="H4" s="6"/>
      <c r="I4" s="6"/>
      <c r="J4" s="16"/>
      <c r="K4" s="16"/>
      <c r="L4" s="16"/>
      <c r="M4" s="4"/>
      <c r="N4" s="4"/>
      <c r="O4" s="4"/>
      <c r="P4" s="4"/>
      <c r="Q4" s="4"/>
    </row>
    <row r="5" spans="1:17" ht="15" thickBot="1" x14ac:dyDescent="0.4">
      <c r="A5" s="12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4"/>
    </row>
    <row r="6" spans="1:17" ht="15" thickBot="1" x14ac:dyDescent="0.4">
      <c r="A6" s="7" t="s">
        <v>5</v>
      </c>
      <c r="B6" s="8">
        <v>46213</v>
      </c>
      <c r="C6" s="18">
        <v>6000</v>
      </c>
      <c r="D6" s="7"/>
      <c r="E6" s="7"/>
      <c r="F6" s="18">
        <v>8000</v>
      </c>
      <c r="G6" s="7"/>
      <c r="H6" s="7" t="s">
        <v>6</v>
      </c>
      <c r="I6" s="10">
        <v>3</v>
      </c>
      <c r="J6" s="17">
        <f>I6*C6</f>
        <v>18000</v>
      </c>
      <c r="K6" s="18">
        <f>I6*F6</f>
        <v>24000</v>
      </c>
      <c r="L6" s="18">
        <f>K6-J6</f>
        <v>6000</v>
      </c>
    </row>
    <row r="7" spans="1:17" ht="15" thickBot="1" x14ac:dyDescent="0.4">
      <c r="A7" s="7" t="s">
        <v>5</v>
      </c>
      <c r="B7" s="8">
        <v>46213</v>
      </c>
      <c r="C7" s="18">
        <v>5000</v>
      </c>
      <c r="D7" s="7"/>
      <c r="E7" s="7"/>
      <c r="F7" s="18">
        <v>7500</v>
      </c>
      <c r="G7" s="7"/>
      <c r="H7" s="7" t="s">
        <v>7</v>
      </c>
      <c r="I7" s="10">
        <v>3</v>
      </c>
      <c r="J7" s="17">
        <f t="shared" ref="J7:J17" si="0">I7*C7</f>
        <v>15000</v>
      </c>
      <c r="K7" s="18">
        <f t="shared" ref="K7:K17" si="1">I7*F7</f>
        <v>22500</v>
      </c>
      <c r="L7" s="18">
        <f t="shared" ref="L7:L17" si="2">K7-J7</f>
        <v>7500</v>
      </c>
    </row>
    <row r="8" spans="1:17" ht="15" thickBot="1" x14ac:dyDescent="0.4">
      <c r="A8" s="7" t="s">
        <v>8</v>
      </c>
      <c r="B8" s="8">
        <v>46219</v>
      </c>
      <c r="C8" s="18">
        <v>6000</v>
      </c>
      <c r="D8" s="7"/>
      <c r="E8" s="7"/>
      <c r="F8" s="18">
        <v>7500</v>
      </c>
      <c r="G8" s="7"/>
      <c r="H8" s="7" t="s">
        <v>7</v>
      </c>
      <c r="I8" s="10">
        <v>7</v>
      </c>
      <c r="J8" s="17">
        <f t="shared" si="0"/>
        <v>42000</v>
      </c>
      <c r="K8" s="18">
        <f t="shared" si="1"/>
        <v>52500</v>
      </c>
      <c r="L8" s="18">
        <f t="shared" si="2"/>
        <v>10500</v>
      </c>
    </row>
    <row r="9" spans="1:17" ht="15" thickBot="1" x14ac:dyDescent="0.4">
      <c r="A9" s="7" t="s">
        <v>8</v>
      </c>
      <c r="B9" s="8">
        <v>46219</v>
      </c>
      <c r="C9" s="18">
        <v>6000</v>
      </c>
      <c r="D9" s="7"/>
      <c r="E9" s="7"/>
      <c r="F9" s="18">
        <v>8000</v>
      </c>
      <c r="G9" s="7"/>
      <c r="H9" s="7" t="s">
        <v>6</v>
      </c>
      <c r="I9" s="10">
        <v>3</v>
      </c>
      <c r="J9" s="17">
        <f t="shared" si="0"/>
        <v>18000</v>
      </c>
      <c r="K9" s="18">
        <f t="shared" si="1"/>
        <v>24000</v>
      </c>
      <c r="L9" s="18">
        <f t="shared" si="2"/>
        <v>6000</v>
      </c>
    </row>
    <row r="10" spans="1:17" ht="15" thickBot="1" x14ac:dyDescent="0.4">
      <c r="A10" s="7" t="s">
        <v>9</v>
      </c>
      <c r="B10" s="8">
        <v>46223</v>
      </c>
      <c r="C10" s="18">
        <v>7000</v>
      </c>
      <c r="D10" s="7"/>
      <c r="E10" s="7"/>
      <c r="F10" s="18">
        <v>7500</v>
      </c>
      <c r="G10" s="7"/>
      <c r="H10" s="7" t="s">
        <v>7</v>
      </c>
      <c r="I10" s="10">
        <v>7</v>
      </c>
      <c r="J10" s="17">
        <f t="shared" si="0"/>
        <v>49000</v>
      </c>
      <c r="K10" s="18">
        <f t="shared" si="1"/>
        <v>52500</v>
      </c>
      <c r="L10" s="18">
        <f t="shared" si="2"/>
        <v>3500</v>
      </c>
    </row>
    <row r="11" spans="1:17" ht="15" thickBot="1" x14ac:dyDescent="0.4">
      <c r="A11" s="7" t="s">
        <v>9</v>
      </c>
      <c r="B11" s="8">
        <v>46223</v>
      </c>
      <c r="C11" s="18">
        <v>7000</v>
      </c>
      <c r="D11" s="7"/>
      <c r="E11" s="7"/>
      <c r="F11" s="18">
        <v>8000</v>
      </c>
      <c r="G11" s="7"/>
      <c r="H11" s="7" t="s">
        <v>6</v>
      </c>
      <c r="I11" s="10">
        <v>2</v>
      </c>
      <c r="J11" s="17">
        <f t="shared" si="0"/>
        <v>14000</v>
      </c>
      <c r="K11" s="18">
        <f t="shared" si="1"/>
        <v>16000</v>
      </c>
      <c r="L11" s="18">
        <f t="shared" si="2"/>
        <v>2000</v>
      </c>
    </row>
    <row r="12" spans="1:17" ht="15" thickBot="1" x14ac:dyDescent="0.4">
      <c r="A12" s="7" t="s">
        <v>8</v>
      </c>
      <c r="B12" s="8">
        <v>46226</v>
      </c>
      <c r="C12" s="18">
        <v>7000</v>
      </c>
      <c r="D12" s="7"/>
      <c r="E12" s="7"/>
      <c r="F12" s="18">
        <v>9000</v>
      </c>
      <c r="G12" s="7"/>
      <c r="H12" s="7" t="s">
        <v>6</v>
      </c>
      <c r="I12" s="10">
        <v>3</v>
      </c>
      <c r="J12" s="17">
        <f t="shared" si="0"/>
        <v>21000</v>
      </c>
      <c r="K12" s="18">
        <f t="shared" si="1"/>
        <v>27000</v>
      </c>
      <c r="L12" s="18">
        <f t="shared" si="2"/>
        <v>6000</v>
      </c>
    </row>
    <row r="13" spans="1:17" ht="15" thickBot="1" x14ac:dyDescent="0.4">
      <c r="A13" s="7" t="s">
        <v>8</v>
      </c>
      <c r="B13" s="8">
        <v>46226</v>
      </c>
      <c r="C13" s="18">
        <v>7000</v>
      </c>
      <c r="D13" s="7"/>
      <c r="E13" s="7"/>
      <c r="F13" s="18">
        <v>9000</v>
      </c>
      <c r="G13" s="7"/>
      <c r="H13" s="7" t="s">
        <v>7</v>
      </c>
      <c r="I13" s="10">
        <v>7</v>
      </c>
      <c r="J13" s="17">
        <f t="shared" si="0"/>
        <v>49000</v>
      </c>
      <c r="K13" s="18">
        <f t="shared" si="1"/>
        <v>63000</v>
      </c>
      <c r="L13" s="18">
        <f t="shared" si="2"/>
        <v>14000</v>
      </c>
    </row>
    <row r="14" spans="1:17" ht="15" thickBot="1" x14ac:dyDescent="0.4">
      <c r="A14" s="7" t="s">
        <v>9</v>
      </c>
      <c r="B14" s="8">
        <v>46230</v>
      </c>
      <c r="C14" s="18">
        <v>7000</v>
      </c>
      <c r="D14" s="7"/>
      <c r="E14" s="7"/>
      <c r="F14" s="18">
        <v>9000</v>
      </c>
      <c r="G14" s="7"/>
      <c r="H14" s="7" t="s">
        <v>6</v>
      </c>
      <c r="I14" s="10">
        <v>3</v>
      </c>
      <c r="J14" s="17">
        <f t="shared" si="0"/>
        <v>21000</v>
      </c>
      <c r="K14" s="18">
        <f t="shared" si="1"/>
        <v>27000</v>
      </c>
      <c r="L14" s="18">
        <f t="shared" si="2"/>
        <v>6000</v>
      </c>
    </row>
    <row r="15" spans="1:17" ht="15" thickBot="1" x14ac:dyDescent="0.4">
      <c r="A15" s="7" t="s">
        <v>9</v>
      </c>
      <c r="B15" s="8">
        <v>46230</v>
      </c>
      <c r="C15" s="18">
        <v>7000</v>
      </c>
      <c r="D15" s="7"/>
      <c r="E15" s="7"/>
      <c r="F15" s="18">
        <v>9000</v>
      </c>
      <c r="G15" s="7"/>
      <c r="H15" s="7" t="s">
        <v>7</v>
      </c>
      <c r="I15" s="10">
        <v>7</v>
      </c>
      <c r="J15" s="17">
        <f t="shared" si="0"/>
        <v>49000</v>
      </c>
      <c r="K15" s="18">
        <f t="shared" si="1"/>
        <v>63000</v>
      </c>
      <c r="L15" s="18">
        <f t="shared" si="2"/>
        <v>14000</v>
      </c>
    </row>
    <row r="16" spans="1:17" ht="15" thickBot="1" x14ac:dyDescent="0.4">
      <c r="A16" s="7" t="s">
        <v>8</v>
      </c>
      <c r="B16" s="11">
        <v>46233</v>
      </c>
      <c r="C16" s="18">
        <v>7000</v>
      </c>
      <c r="D16" s="7"/>
      <c r="E16" s="7"/>
      <c r="F16" s="18">
        <v>9000</v>
      </c>
      <c r="G16" s="7"/>
      <c r="H16" s="7" t="s">
        <v>6</v>
      </c>
      <c r="I16" s="10">
        <v>3</v>
      </c>
      <c r="J16" s="17">
        <f t="shared" si="0"/>
        <v>21000</v>
      </c>
      <c r="K16" s="18">
        <f t="shared" si="1"/>
        <v>27000</v>
      </c>
      <c r="L16" s="18">
        <f t="shared" si="2"/>
        <v>6000</v>
      </c>
    </row>
    <row r="17" spans="1:12" ht="15" thickBot="1" x14ac:dyDescent="0.4">
      <c r="A17" s="7" t="s">
        <v>8</v>
      </c>
      <c r="B17" s="8">
        <v>46233</v>
      </c>
      <c r="C17" s="18">
        <v>7000</v>
      </c>
      <c r="D17" s="7"/>
      <c r="E17" s="7"/>
      <c r="F17" s="18">
        <v>9000</v>
      </c>
      <c r="G17" s="7"/>
      <c r="H17" s="7" t="s">
        <v>7</v>
      </c>
      <c r="I17" s="10">
        <v>7</v>
      </c>
      <c r="J17" s="17">
        <f t="shared" si="0"/>
        <v>49000</v>
      </c>
      <c r="K17" s="18">
        <f t="shared" si="1"/>
        <v>63000</v>
      </c>
      <c r="L17" s="18">
        <f t="shared" si="2"/>
        <v>14000</v>
      </c>
    </row>
    <row r="19" spans="1:12" ht="15" thickBot="1" x14ac:dyDescent="0.4"/>
    <row r="20" spans="1:12" ht="15" thickBot="1" x14ac:dyDescent="0.4">
      <c r="H20" s="7"/>
      <c r="I20" s="10" t="s">
        <v>18</v>
      </c>
      <c r="J20" s="18" t="s">
        <v>18</v>
      </c>
      <c r="K20" s="20" t="s">
        <v>18</v>
      </c>
      <c r="L20" s="20" t="s">
        <v>18</v>
      </c>
    </row>
    <row r="21" spans="1:12" x14ac:dyDescent="0.35">
      <c r="I21">
        <f>SUM(I6:I17)</f>
        <v>55</v>
      </c>
      <c r="J21" s="17">
        <f>SUM(J6:J17)</f>
        <v>366000</v>
      </c>
      <c r="K21" s="17">
        <f>SUM(K6:K17)</f>
        <v>461500</v>
      </c>
      <c r="L21" s="17">
        <f>SUM(L6:L17)</f>
        <v>95500</v>
      </c>
    </row>
    <row r="23" spans="1:12" ht="15" thickBot="1" x14ac:dyDescent="0.4"/>
    <row r="24" spans="1:12" ht="15" thickBot="1" x14ac:dyDescent="0.4">
      <c r="A24" s="12" t="s">
        <v>19</v>
      </c>
      <c r="B24" s="13"/>
      <c r="C24" s="13"/>
      <c r="D24" s="13"/>
      <c r="E24" s="13"/>
      <c r="F24" s="13"/>
      <c r="G24" s="13"/>
      <c r="H24" s="13"/>
      <c r="I24" s="13"/>
      <c r="J24" s="13"/>
      <c r="K24" s="14"/>
    </row>
    <row r="25" spans="1:12" ht="15" thickBot="1" x14ac:dyDescent="0.4">
      <c r="A25" s="7" t="s">
        <v>9</v>
      </c>
      <c r="B25" s="8">
        <v>46237</v>
      </c>
      <c r="C25" s="18">
        <v>7000</v>
      </c>
      <c r="D25" s="7"/>
      <c r="E25" s="7"/>
      <c r="F25" s="18">
        <v>9500</v>
      </c>
      <c r="G25" s="7"/>
      <c r="H25" s="7" t="s">
        <v>6</v>
      </c>
      <c r="I25" s="10">
        <v>3</v>
      </c>
      <c r="J25" s="17">
        <f>I25*C25</f>
        <v>21000</v>
      </c>
      <c r="K25" s="18">
        <f>I25*F25</f>
        <v>28500</v>
      </c>
      <c r="L25" s="18">
        <f>K25-J25</f>
        <v>7500</v>
      </c>
    </row>
    <row r="26" spans="1:12" ht="15" thickBot="1" x14ac:dyDescent="0.4">
      <c r="A26" s="7" t="s">
        <v>9</v>
      </c>
      <c r="B26" s="8">
        <v>46237</v>
      </c>
      <c r="C26" s="18">
        <v>7000</v>
      </c>
      <c r="D26" s="7"/>
      <c r="E26" s="7"/>
      <c r="F26" s="18">
        <v>9500</v>
      </c>
      <c r="G26" s="7"/>
      <c r="H26" s="7" t="s">
        <v>7</v>
      </c>
      <c r="I26" s="10">
        <v>5</v>
      </c>
      <c r="J26" s="17">
        <f t="shared" ref="J26:J34" si="3">I26*C26</f>
        <v>35000</v>
      </c>
      <c r="K26" s="18">
        <f t="shared" ref="K26:K34" si="4">I26*F26</f>
        <v>47500</v>
      </c>
      <c r="L26" s="18">
        <f t="shared" ref="L26:L34" si="5">K26-J26</f>
        <v>12500</v>
      </c>
    </row>
    <row r="27" spans="1:12" ht="15" thickBot="1" x14ac:dyDescent="0.4">
      <c r="A27" s="7" t="s">
        <v>8</v>
      </c>
      <c r="B27" s="8">
        <v>46240</v>
      </c>
      <c r="C27" s="18">
        <v>6500</v>
      </c>
      <c r="D27" s="7"/>
      <c r="E27" s="7"/>
      <c r="F27" s="18">
        <v>9500</v>
      </c>
      <c r="G27" s="7"/>
      <c r="H27" s="7" t="s">
        <v>6</v>
      </c>
      <c r="I27" s="10">
        <v>3</v>
      </c>
      <c r="J27" s="17">
        <f t="shared" si="3"/>
        <v>19500</v>
      </c>
      <c r="K27" s="18">
        <f t="shared" si="4"/>
        <v>28500</v>
      </c>
      <c r="L27" s="18">
        <f t="shared" si="5"/>
        <v>9000</v>
      </c>
    </row>
    <row r="28" spans="1:12" ht="15" thickBot="1" x14ac:dyDescent="0.4">
      <c r="A28" s="7" t="s">
        <v>8</v>
      </c>
      <c r="B28" s="8">
        <v>46240</v>
      </c>
      <c r="C28" s="18">
        <v>6500</v>
      </c>
      <c r="D28" s="7"/>
      <c r="E28" s="7"/>
      <c r="F28" s="18">
        <v>9500</v>
      </c>
      <c r="G28" s="7"/>
      <c r="H28" s="7" t="s">
        <v>7</v>
      </c>
      <c r="I28" s="10">
        <v>7</v>
      </c>
      <c r="J28" s="17">
        <f t="shared" si="3"/>
        <v>45500</v>
      </c>
      <c r="K28" s="18">
        <f t="shared" si="4"/>
        <v>66500</v>
      </c>
      <c r="L28" s="18">
        <f t="shared" si="5"/>
        <v>21000</v>
      </c>
    </row>
    <row r="29" spans="1:12" ht="15" thickBot="1" x14ac:dyDescent="0.4">
      <c r="A29" s="7" t="s">
        <v>9</v>
      </c>
      <c r="B29" s="8">
        <v>46244</v>
      </c>
      <c r="C29" s="18">
        <v>6500</v>
      </c>
      <c r="D29" s="7"/>
      <c r="E29" s="7"/>
      <c r="F29" s="18">
        <v>9500</v>
      </c>
      <c r="G29" s="7"/>
      <c r="H29" s="7" t="s">
        <v>6</v>
      </c>
      <c r="I29" s="10">
        <v>3</v>
      </c>
      <c r="J29" s="17">
        <f t="shared" si="3"/>
        <v>19500</v>
      </c>
      <c r="K29" s="18">
        <f t="shared" si="4"/>
        <v>28500</v>
      </c>
      <c r="L29" s="18">
        <f t="shared" si="5"/>
        <v>9000</v>
      </c>
    </row>
    <row r="30" spans="1:12" ht="15" thickBot="1" x14ac:dyDescent="0.4">
      <c r="A30" s="7" t="s">
        <v>9</v>
      </c>
      <c r="B30" s="8">
        <v>46244</v>
      </c>
      <c r="C30" s="18">
        <v>6500</v>
      </c>
      <c r="D30" s="7"/>
      <c r="E30" s="7"/>
      <c r="F30" s="18">
        <v>9500</v>
      </c>
      <c r="G30" s="7"/>
      <c r="H30" s="7" t="s">
        <v>7</v>
      </c>
      <c r="I30" s="10">
        <v>7</v>
      </c>
      <c r="J30" s="17">
        <f t="shared" si="3"/>
        <v>45500</v>
      </c>
      <c r="K30" s="18">
        <f t="shared" si="4"/>
        <v>66500</v>
      </c>
      <c r="L30" s="18">
        <f t="shared" si="5"/>
        <v>21000</v>
      </c>
    </row>
    <row r="31" spans="1:12" ht="15" thickBot="1" x14ac:dyDescent="0.4">
      <c r="A31" s="7" t="s">
        <v>8</v>
      </c>
      <c r="B31" s="8">
        <v>46247</v>
      </c>
      <c r="C31" s="18">
        <v>5000</v>
      </c>
      <c r="D31" s="7"/>
      <c r="E31" s="7"/>
      <c r="F31" s="18">
        <v>9500</v>
      </c>
      <c r="G31" s="7"/>
      <c r="H31" s="7" t="s">
        <v>6</v>
      </c>
      <c r="I31" s="10">
        <v>3</v>
      </c>
      <c r="J31" s="17">
        <f t="shared" si="3"/>
        <v>15000</v>
      </c>
      <c r="K31" s="18">
        <f t="shared" si="4"/>
        <v>28500</v>
      </c>
      <c r="L31" s="18">
        <f t="shared" si="5"/>
        <v>13500</v>
      </c>
    </row>
    <row r="32" spans="1:12" ht="15" thickBot="1" x14ac:dyDescent="0.4">
      <c r="A32" s="7" t="s">
        <v>8</v>
      </c>
      <c r="B32" s="8">
        <v>46247</v>
      </c>
      <c r="C32" s="18">
        <v>4000</v>
      </c>
      <c r="D32" s="7"/>
      <c r="E32" s="7"/>
      <c r="F32" s="18">
        <v>9500</v>
      </c>
      <c r="G32" s="7"/>
      <c r="H32" s="7" t="s">
        <v>7</v>
      </c>
      <c r="I32" s="10">
        <v>5</v>
      </c>
      <c r="J32" s="17">
        <f t="shared" si="3"/>
        <v>20000</v>
      </c>
      <c r="K32" s="18">
        <f t="shared" si="4"/>
        <v>47500</v>
      </c>
      <c r="L32" s="18">
        <f t="shared" si="5"/>
        <v>27500</v>
      </c>
    </row>
    <row r="33" spans="1:12" ht="15" thickBot="1" x14ac:dyDescent="0.4">
      <c r="A33" s="7" t="s">
        <v>9</v>
      </c>
      <c r="B33" s="8">
        <v>46251</v>
      </c>
      <c r="C33" s="18">
        <v>4000</v>
      </c>
      <c r="D33" s="7"/>
      <c r="E33" s="7"/>
      <c r="F33" s="18">
        <v>9000</v>
      </c>
      <c r="G33" s="7"/>
      <c r="H33" s="7" t="s">
        <v>7</v>
      </c>
      <c r="I33" s="10">
        <v>10</v>
      </c>
      <c r="J33" s="17">
        <f t="shared" si="3"/>
        <v>40000</v>
      </c>
      <c r="K33" s="18">
        <f t="shared" si="4"/>
        <v>90000</v>
      </c>
      <c r="L33" s="18">
        <f t="shared" si="5"/>
        <v>50000</v>
      </c>
    </row>
    <row r="34" spans="1:12" ht="15" thickBot="1" x14ac:dyDescent="0.4">
      <c r="A34" s="7" t="s">
        <v>9</v>
      </c>
      <c r="B34" s="8">
        <v>46251</v>
      </c>
      <c r="C34" s="18">
        <v>5000</v>
      </c>
      <c r="D34" s="7"/>
      <c r="E34" s="7"/>
      <c r="F34" s="18">
        <v>9500</v>
      </c>
      <c r="G34" s="7"/>
      <c r="H34" s="7" t="s">
        <v>6</v>
      </c>
      <c r="I34" s="10">
        <v>5</v>
      </c>
      <c r="J34" s="17">
        <f t="shared" si="3"/>
        <v>25000</v>
      </c>
      <c r="K34" s="18">
        <f t="shared" si="4"/>
        <v>47500</v>
      </c>
      <c r="L34" s="18">
        <f t="shared" si="5"/>
        <v>22500</v>
      </c>
    </row>
    <row r="36" spans="1:12" x14ac:dyDescent="0.35">
      <c r="I36" t="s">
        <v>18</v>
      </c>
      <c r="J36" s="17" t="s">
        <v>18</v>
      </c>
      <c r="K36" s="17" t="s">
        <v>18</v>
      </c>
      <c r="L36" s="17" t="s">
        <v>18</v>
      </c>
    </row>
    <row r="37" spans="1:12" x14ac:dyDescent="0.35">
      <c r="I37">
        <f>SUM(I25:I34)</f>
        <v>51</v>
      </c>
      <c r="J37" s="17">
        <f t="shared" ref="J37:L37" si="6">SUM(J25:J34)</f>
        <v>286000</v>
      </c>
      <c r="K37" s="17">
        <f t="shared" si="6"/>
        <v>479500</v>
      </c>
      <c r="L37" s="17">
        <f t="shared" si="6"/>
        <v>193500</v>
      </c>
    </row>
  </sheetData>
  <mergeCells count="4">
    <mergeCell ref="A2:L2"/>
    <mergeCell ref="A1:J1"/>
    <mergeCell ref="A5:K5"/>
    <mergeCell ref="A24:K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ADE9-1AAD-4CAD-BA3C-BD090CF6FF2C}">
  <dimension ref="A1:C11"/>
  <sheetViews>
    <sheetView topLeftCell="A2" workbookViewId="0">
      <selection activeCell="A20" sqref="A20"/>
    </sheetView>
  </sheetViews>
  <sheetFormatPr defaultRowHeight="14.5" x14ac:dyDescent="0.35"/>
  <cols>
    <col min="1" max="1" width="42.453125" customWidth="1"/>
    <col min="2" max="2" width="17.453125" customWidth="1"/>
    <col min="3" max="3" width="12" customWidth="1"/>
  </cols>
  <sheetData>
    <row r="1" spans="1:3" hidden="1" x14ac:dyDescent="0.35">
      <c r="A1" s="23" t="s">
        <v>43</v>
      </c>
      <c r="B1" s="23" t="s">
        <v>44</v>
      </c>
      <c r="C1" s="23" t="s">
        <v>45</v>
      </c>
    </row>
    <row r="2" spans="1:3" x14ac:dyDescent="0.35">
      <c r="A2" s="23" t="s">
        <v>24</v>
      </c>
      <c r="B2" s="23"/>
      <c r="C2" s="23"/>
    </row>
    <row r="3" spans="1:3" x14ac:dyDescent="0.35">
      <c r="A3" t="s">
        <v>20</v>
      </c>
      <c r="B3" t="s">
        <v>21</v>
      </c>
      <c r="C3" t="s">
        <v>22</v>
      </c>
    </row>
    <row r="5" spans="1:3" x14ac:dyDescent="0.35">
      <c r="A5" t="s">
        <v>25</v>
      </c>
      <c r="B5">
        <v>106</v>
      </c>
      <c r="C5" s="1" t="s">
        <v>26</v>
      </c>
    </row>
    <row r="6" spans="1:3" x14ac:dyDescent="0.35">
      <c r="A6" t="s">
        <v>27</v>
      </c>
      <c r="B6" s="9">
        <v>6200</v>
      </c>
    </row>
    <row r="7" spans="1:3" x14ac:dyDescent="0.35">
      <c r="A7" t="s">
        <v>28</v>
      </c>
      <c r="B7" s="9"/>
      <c r="C7" s="9">
        <v>8900</v>
      </c>
    </row>
    <row r="8" spans="1:3" x14ac:dyDescent="0.35">
      <c r="A8" t="s">
        <v>29</v>
      </c>
      <c r="B8" s="9">
        <v>652000</v>
      </c>
    </row>
    <row r="9" spans="1:3" x14ac:dyDescent="0.35">
      <c r="A9" t="s">
        <v>30</v>
      </c>
      <c r="B9" s="9"/>
      <c r="C9" s="9">
        <v>941000</v>
      </c>
    </row>
    <row r="10" spans="1:3" x14ac:dyDescent="0.35">
      <c r="A10" t="s">
        <v>23</v>
      </c>
      <c r="C10" s="9">
        <f>C9-B8</f>
        <v>289000</v>
      </c>
    </row>
    <row r="11" spans="1:3" x14ac:dyDescent="0.35">
      <c r="A11" t="s">
        <v>31</v>
      </c>
      <c r="C11" s="21">
        <f>(C9-B8)/B8</f>
        <v>0.44325153374233128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A83F-C6AA-45CE-81FC-4E65E8919B78}">
  <dimension ref="A4:L27"/>
  <sheetViews>
    <sheetView zoomScale="61" workbookViewId="0">
      <selection activeCell="AE27" sqref="AE27"/>
    </sheetView>
  </sheetViews>
  <sheetFormatPr defaultRowHeight="14.5" x14ac:dyDescent="0.35"/>
  <cols>
    <col min="1" max="1" width="11.36328125" bestFit="1" customWidth="1"/>
    <col min="2" max="2" width="17.453125" style="17" bestFit="1" customWidth="1"/>
    <col min="3" max="3" width="16" style="17" bestFit="1" customWidth="1"/>
    <col min="4" max="4" width="9.08984375" bestFit="1" customWidth="1"/>
    <col min="5" max="5" width="7" bestFit="1" customWidth="1"/>
    <col min="7" max="7" width="24.7265625" bestFit="1" customWidth="1"/>
    <col min="8" max="8" width="16.08984375" bestFit="1" customWidth="1"/>
    <col min="10" max="10" width="9.7265625" bestFit="1" customWidth="1"/>
    <col min="11" max="11" width="13.90625" bestFit="1" customWidth="1"/>
    <col min="12" max="12" width="13.6328125" bestFit="1" customWidth="1"/>
  </cols>
  <sheetData>
    <row r="4" spans="1:12" x14ac:dyDescent="0.35">
      <c r="A4" t="s">
        <v>32</v>
      </c>
      <c r="B4" s="17" t="s">
        <v>33</v>
      </c>
      <c r="C4" s="17" t="s">
        <v>34</v>
      </c>
      <c r="D4" s="17" t="s">
        <v>3</v>
      </c>
      <c r="E4" t="s">
        <v>35</v>
      </c>
      <c r="G4" t="s">
        <v>2</v>
      </c>
      <c r="H4" s="17" t="s">
        <v>36</v>
      </c>
      <c r="J4" t="s">
        <v>37</v>
      </c>
      <c r="K4" s="17" t="s">
        <v>38</v>
      </c>
      <c r="L4" s="17" t="s">
        <v>39</v>
      </c>
    </row>
    <row r="5" spans="1:12" ht="15" thickBot="1" x14ac:dyDescent="0.4"/>
    <row r="6" spans="1:12" ht="15" thickBot="1" x14ac:dyDescent="0.4">
      <c r="A6" s="8">
        <v>46213</v>
      </c>
      <c r="B6" s="17">
        <v>18000</v>
      </c>
      <c r="C6" s="17">
        <v>24000</v>
      </c>
      <c r="D6" s="22">
        <f>C6-B6</f>
        <v>6000</v>
      </c>
      <c r="E6" s="10">
        <v>3</v>
      </c>
      <c r="G6" t="s">
        <v>40</v>
      </c>
      <c r="H6" s="22">
        <f>SUM(B6:B27)</f>
        <v>652000</v>
      </c>
      <c r="J6" t="s">
        <v>42</v>
      </c>
    </row>
    <row r="7" spans="1:12" ht="15" thickBot="1" x14ac:dyDescent="0.4">
      <c r="A7" s="8">
        <v>46213</v>
      </c>
      <c r="B7" s="17">
        <v>15000</v>
      </c>
      <c r="C7" s="17">
        <v>22500</v>
      </c>
      <c r="D7" s="22">
        <f t="shared" ref="D7:D27" si="0">C7-B7</f>
        <v>7500</v>
      </c>
      <c r="E7" s="10">
        <v>3</v>
      </c>
      <c r="G7" t="s">
        <v>41</v>
      </c>
      <c r="H7" s="22">
        <f>SUM(C6:C27)</f>
        <v>941000</v>
      </c>
    </row>
    <row r="8" spans="1:12" ht="15" thickBot="1" x14ac:dyDescent="0.4">
      <c r="A8" s="8">
        <v>46219</v>
      </c>
      <c r="B8" s="17">
        <v>42000</v>
      </c>
      <c r="C8" s="17">
        <v>52500</v>
      </c>
      <c r="D8" s="22">
        <f t="shared" si="0"/>
        <v>10500</v>
      </c>
      <c r="E8" s="10">
        <v>7</v>
      </c>
    </row>
    <row r="9" spans="1:12" ht="15" thickBot="1" x14ac:dyDescent="0.4">
      <c r="A9" s="8">
        <v>46219</v>
      </c>
      <c r="B9" s="17">
        <v>18000</v>
      </c>
      <c r="C9" s="17">
        <v>24000</v>
      </c>
      <c r="D9" s="22">
        <f t="shared" si="0"/>
        <v>6000</v>
      </c>
      <c r="E9" s="10">
        <v>3</v>
      </c>
    </row>
    <row r="10" spans="1:12" ht="15" thickBot="1" x14ac:dyDescent="0.4">
      <c r="A10" s="8">
        <v>46223</v>
      </c>
      <c r="B10" s="17">
        <v>49000</v>
      </c>
      <c r="C10" s="17">
        <v>52500</v>
      </c>
      <c r="D10" s="22">
        <f t="shared" si="0"/>
        <v>3500</v>
      </c>
      <c r="E10" s="10">
        <v>7</v>
      </c>
    </row>
    <row r="11" spans="1:12" ht="15" thickBot="1" x14ac:dyDescent="0.4">
      <c r="A11" s="8">
        <v>46223</v>
      </c>
      <c r="B11" s="17">
        <v>14000</v>
      </c>
      <c r="C11" s="17">
        <v>16000</v>
      </c>
      <c r="D11" s="22">
        <f t="shared" si="0"/>
        <v>2000</v>
      </c>
      <c r="E11" s="10">
        <v>2</v>
      </c>
    </row>
    <row r="12" spans="1:12" ht="15" thickBot="1" x14ac:dyDescent="0.4">
      <c r="A12" s="8">
        <v>46226</v>
      </c>
      <c r="B12" s="17">
        <v>21000</v>
      </c>
      <c r="C12" s="17">
        <v>27000</v>
      </c>
      <c r="D12" s="22">
        <f t="shared" si="0"/>
        <v>6000</v>
      </c>
      <c r="E12" s="10">
        <v>3</v>
      </c>
    </row>
    <row r="13" spans="1:12" ht="15" thickBot="1" x14ac:dyDescent="0.4">
      <c r="A13" s="8">
        <v>46226</v>
      </c>
      <c r="B13" s="17">
        <v>49000</v>
      </c>
      <c r="C13" s="17">
        <v>63000</v>
      </c>
      <c r="D13" s="22">
        <f t="shared" si="0"/>
        <v>14000</v>
      </c>
      <c r="E13" s="10">
        <v>7</v>
      </c>
    </row>
    <row r="14" spans="1:12" ht="15" thickBot="1" x14ac:dyDescent="0.4">
      <c r="A14" s="8">
        <v>46230</v>
      </c>
      <c r="B14" s="17">
        <v>21000</v>
      </c>
      <c r="C14" s="17">
        <v>27000</v>
      </c>
      <c r="D14" s="22">
        <f t="shared" si="0"/>
        <v>6000</v>
      </c>
      <c r="E14" s="10">
        <v>3</v>
      </c>
    </row>
    <row r="15" spans="1:12" ht="15" thickBot="1" x14ac:dyDescent="0.4">
      <c r="A15" s="8">
        <v>46230</v>
      </c>
      <c r="B15" s="17">
        <v>49000</v>
      </c>
      <c r="C15" s="17">
        <v>63000</v>
      </c>
      <c r="D15" s="22">
        <f t="shared" si="0"/>
        <v>14000</v>
      </c>
      <c r="E15" s="10">
        <v>7</v>
      </c>
    </row>
    <row r="16" spans="1:12" ht="15" thickBot="1" x14ac:dyDescent="0.4">
      <c r="A16" s="11">
        <v>46233</v>
      </c>
      <c r="B16" s="17">
        <v>21000</v>
      </c>
      <c r="C16" s="17">
        <v>27000</v>
      </c>
      <c r="D16" s="22">
        <f t="shared" si="0"/>
        <v>6000</v>
      </c>
      <c r="E16" s="10">
        <v>3</v>
      </c>
    </row>
    <row r="17" spans="1:5" ht="15" thickBot="1" x14ac:dyDescent="0.4">
      <c r="A17" s="8">
        <v>46233</v>
      </c>
      <c r="B17" s="17">
        <v>49000</v>
      </c>
      <c r="C17" s="17">
        <v>63000</v>
      </c>
      <c r="D17" s="22">
        <f t="shared" si="0"/>
        <v>14000</v>
      </c>
      <c r="E17" s="10">
        <v>7</v>
      </c>
    </row>
    <row r="18" spans="1:5" ht="15" thickBot="1" x14ac:dyDescent="0.4">
      <c r="A18" s="8">
        <v>46237</v>
      </c>
      <c r="B18" s="17">
        <v>21000</v>
      </c>
      <c r="C18" s="17">
        <v>28500</v>
      </c>
      <c r="D18" s="22">
        <f t="shared" si="0"/>
        <v>7500</v>
      </c>
      <c r="E18" s="10">
        <v>3</v>
      </c>
    </row>
    <row r="19" spans="1:5" ht="15" thickBot="1" x14ac:dyDescent="0.4">
      <c r="A19" s="8">
        <v>46237</v>
      </c>
      <c r="B19" s="17">
        <v>35000</v>
      </c>
      <c r="C19" s="17">
        <v>47500</v>
      </c>
      <c r="D19" s="22">
        <f t="shared" si="0"/>
        <v>12500</v>
      </c>
      <c r="E19" s="10">
        <v>5</v>
      </c>
    </row>
    <row r="20" spans="1:5" ht="15" thickBot="1" x14ac:dyDescent="0.4">
      <c r="A20" s="8">
        <v>46240</v>
      </c>
      <c r="B20" s="17">
        <v>19500</v>
      </c>
      <c r="C20" s="17">
        <v>28500</v>
      </c>
      <c r="D20" s="22">
        <f t="shared" si="0"/>
        <v>9000</v>
      </c>
      <c r="E20" s="10">
        <v>3</v>
      </c>
    </row>
    <row r="21" spans="1:5" ht="15" thickBot="1" x14ac:dyDescent="0.4">
      <c r="A21" s="8">
        <v>46240</v>
      </c>
      <c r="B21" s="17">
        <v>45500</v>
      </c>
      <c r="C21" s="17">
        <v>66500</v>
      </c>
      <c r="D21" s="22">
        <f t="shared" si="0"/>
        <v>21000</v>
      </c>
      <c r="E21" s="10">
        <v>7</v>
      </c>
    </row>
    <row r="22" spans="1:5" ht="15" thickBot="1" x14ac:dyDescent="0.4">
      <c r="A22" s="8">
        <v>46244</v>
      </c>
      <c r="B22" s="17">
        <v>19500</v>
      </c>
      <c r="C22" s="17">
        <v>28500</v>
      </c>
      <c r="D22" s="22">
        <f t="shared" si="0"/>
        <v>9000</v>
      </c>
      <c r="E22" s="10">
        <v>3</v>
      </c>
    </row>
    <row r="23" spans="1:5" ht="15" thickBot="1" x14ac:dyDescent="0.4">
      <c r="A23" s="8">
        <v>46244</v>
      </c>
      <c r="B23" s="17">
        <v>45500</v>
      </c>
      <c r="C23" s="17">
        <v>66500</v>
      </c>
      <c r="D23" s="22">
        <f t="shared" si="0"/>
        <v>21000</v>
      </c>
      <c r="E23" s="10">
        <v>7</v>
      </c>
    </row>
    <row r="24" spans="1:5" ht="15" thickBot="1" x14ac:dyDescent="0.4">
      <c r="A24" s="8">
        <v>46247</v>
      </c>
      <c r="B24" s="17">
        <v>15000</v>
      </c>
      <c r="C24" s="17">
        <v>28500</v>
      </c>
      <c r="D24" s="22">
        <f t="shared" si="0"/>
        <v>13500</v>
      </c>
      <c r="E24" s="10">
        <v>3</v>
      </c>
    </row>
    <row r="25" spans="1:5" ht="15" thickBot="1" x14ac:dyDescent="0.4">
      <c r="A25" s="8">
        <v>46247</v>
      </c>
      <c r="B25" s="17">
        <v>20000</v>
      </c>
      <c r="C25" s="17">
        <v>47500</v>
      </c>
      <c r="D25" s="22">
        <f t="shared" si="0"/>
        <v>27500</v>
      </c>
      <c r="E25" s="10">
        <v>5</v>
      </c>
    </row>
    <row r="26" spans="1:5" ht="15" thickBot="1" x14ac:dyDescent="0.4">
      <c r="A26" s="8">
        <v>46251</v>
      </c>
      <c r="B26" s="17">
        <v>40000</v>
      </c>
      <c r="C26" s="17">
        <v>90000</v>
      </c>
      <c r="D26" s="22">
        <f t="shared" si="0"/>
        <v>50000</v>
      </c>
      <c r="E26" s="10">
        <v>10</v>
      </c>
    </row>
    <row r="27" spans="1:5" ht="15" thickBot="1" x14ac:dyDescent="0.4">
      <c r="A27" s="8">
        <v>46251</v>
      </c>
      <c r="B27" s="17">
        <v>25000</v>
      </c>
      <c r="C27" s="17">
        <v>47500</v>
      </c>
      <c r="D27" s="22">
        <f t="shared" si="0"/>
        <v>22500</v>
      </c>
      <c r="E27" s="10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Log</vt:lpstr>
      <vt:lpstr>Revenue Comparison</vt:lpstr>
      <vt:lpstr>Charts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AIAUG 18 - Emmanuel Agwanyang</dc:creator>
  <cp:lastModifiedBy>AIAUG 18 - Emmanuel Agwanyang</cp:lastModifiedBy>
  <dcterms:created xsi:type="dcterms:W3CDTF">2026-08-23T14:43:02Z</dcterms:created>
  <dcterms:modified xsi:type="dcterms:W3CDTF">2026-08-23T16:23:12Z</dcterms:modified>
</cp:coreProperties>
</file>