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zo\Music\group2\"/>
    </mc:Choice>
  </mc:AlternateContent>
  <xr:revisionPtr revIDLastSave="0" documentId="13_ncr:2001_{04B8A464-FF3C-40F1-8FB1-0E4FC200FC77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Harvest Log" sheetId="1" r:id="rId1"/>
    <sheet name="Revenue Comparison" sheetId="2" r:id="rId2"/>
    <sheet name="Charts" sheetId="3" r:id="rId3"/>
    <sheet name="Weekly Revenue Potential" sheetId="4" r:id="rId4"/>
    <sheet name="Lingr Network Value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B7" i="2"/>
  <c r="B6" i="5"/>
  <c r="I5" i="3"/>
  <c r="I4" i="3"/>
  <c r="M7" i="3"/>
  <c r="L7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4" i="3"/>
  <c r="B3" i="2"/>
  <c r="L25" i="1"/>
  <c r="K25" i="1"/>
  <c r="J25" i="1"/>
  <c r="L13" i="1"/>
  <c r="L14" i="1"/>
  <c r="L15" i="1"/>
  <c r="L16" i="1"/>
  <c r="L17" i="1"/>
  <c r="L18" i="1"/>
  <c r="L19" i="1"/>
  <c r="K13" i="1"/>
  <c r="K14" i="1"/>
  <c r="K15" i="1"/>
  <c r="K16" i="1"/>
  <c r="K17" i="1"/>
  <c r="K18" i="1"/>
  <c r="K19" i="1"/>
  <c r="J13" i="1"/>
  <c r="J14" i="1"/>
  <c r="J15" i="1"/>
  <c r="J16" i="1"/>
  <c r="J17" i="1"/>
  <c r="J18" i="1"/>
  <c r="J19" i="1"/>
  <c r="A19" i="1"/>
  <c r="A18" i="1"/>
  <c r="C23" i="1"/>
  <c r="E23" i="1"/>
  <c r="D23" i="1"/>
  <c r="E13" i="1"/>
  <c r="E14" i="1"/>
  <c r="E15" i="1"/>
  <c r="E16" i="1"/>
  <c r="E17" i="1"/>
  <c r="E18" i="1"/>
  <c r="E19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4" i="1"/>
  <c r="C5" i="5" l="1"/>
  <c r="C4" i="5"/>
  <c r="D3" i="5"/>
  <c r="F8" i="4"/>
  <c r="G8" i="4" s="1"/>
  <c r="F7" i="4"/>
  <c r="F9" i="4" s="1"/>
  <c r="E12" i="1"/>
  <c r="K12" i="1" s="1"/>
  <c r="E11" i="1"/>
  <c r="J11" i="1" s="1"/>
  <c r="E10" i="1"/>
  <c r="K10" i="1" s="1"/>
  <c r="E9" i="1"/>
  <c r="K9" i="1" s="1"/>
  <c r="E8" i="1"/>
  <c r="K8" i="1" s="1"/>
  <c r="E7" i="1"/>
  <c r="J7" i="1" s="1"/>
  <c r="E6" i="1"/>
  <c r="J6" i="1" s="1"/>
  <c r="E5" i="1"/>
  <c r="K5" i="1" s="1"/>
  <c r="E4" i="1"/>
  <c r="K6" i="1" l="1"/>
  <c r="L6" i="1" s="1"/>
  <c r="J10" i="1"/>
  <c r="L10" i="1" s="1"/>
  <c r="K7" i="1"/>
  <c r="L7" i="1" s="1"/>
  <c r="G7" i="4"/>
  <c r="G9" i="4" s="1"/>
  <c r="J4" i="1"/>
  <c r="J8" i="1"/>
  <c r="L8" i="1" s="1"/>
  <c r="J12" i="1"/>
  <c r="L12" i="1" s="1"/>
  <c r="K4" i="1"/>
  <c r="K11" i="1"/>
  <c r="L11" i="1" s="1"/>
  <c r="J5" i="1"/>
  <c r="L5" i="1" s="1"/>
  <c r="J9" i="1"/>
  <c r="L9" i="1" s="1"/>
  <c r="L4" i="1" l="1"/>
  <c r="D6" i="5" l="1"/>
  <c r="C6" i="5"/>
  <c r="C10" i="2"/>
  <c r="C9" i="2"/>
</calcChain>
</file>

<file path=xl/sharedStrings.xml><?xml version="1.0" encoding="utf-8"?>
<sst xmlns="http://schemas.openxmlformats.org/spreadsheetml/2006/main" count="145" uniqueCount="87">
  <si>
    <t>GH 2 &amp; 3 Harvest Log — Revenue Analysis (Lingr Network)</t>
  </si>
  <si>
    <t>Before Lingr Network: avg price ₦600/kg  |  After Lingr Network: Restaurant ₦1,000/kg · Reseller ₦1,100/kg</t>
  </si>
  <si>
    <t>Day</t>
  </si>
  <si>
    <t>Date</t>
  </si>
  <si>
    <t>GH2 (kg)</t>
  </si>
  <si>
    <t>GH3 (kg)</t>
  </si>
  <si>
    <t>Total (kg)</t>
  </si>
  <si>
    <t>Era</t>
  </si>
  <si>
    <t>Avg Price before Lingr network
(₦/kg)</t>
  </si>
  <si>
    <t>Avg Price after Lingr network
(₦/kg)</t>
  </si>
  <si>
    <t>Revenue
Before (₦)</t>
  </si>
  <si>
    <t>Revenue
After (₦)</t>
  </si>
  <si>
    <t>Uplift (₦)</t>
  </si>
  <si>
    <t>28-May-26</t>
  </si>
  <si>
    <t>Before Lingr</t>
  </si>
  <si>
    <t>After Lingr</t>
  </si>
  <si>
    <t>04-Jun-26</t>
  </si>
  <si>
    <t>08-Jun-26</t>
  </si>
  <si>
    <t>11-Jun-26</t>
  </si>
  <si>
    <t>13-Jun-26</t>
  </si>
  <si>
    <t>15-Jun-26</t>
  </si>
  <si>
    <t>18-Jun-26</t>
  </si>
  <si>
    <t>20-Jun-26</t>
  </si>
  <si>
    <t>22-Jun-26</t>
  </si>
  <si>
    <t>Total</t>
  </si>
  <si>
    <t>TOTALS (All Harvests)</t>
  </si>
  <si>
    <t>Revenue Impact — Before vs After Lingr Network</t>
  </si>
  <si>
    <t>Metric</t>
  </si>
  <si>
    <t>Total kg Harvested</t>
  </si>
  <si>
    <t>—</t>
  </si>
  <si>
    <t>Average Price / kg — Before (₦)</t>
  </si>
  <si>
    <t>Average Price / kg — After blended (₦)</t>
  </si>
  <si>
    <t>Total Revenue — Before (₦)</t>
  </si>
  <si>
    <t>Total Revenue — After (₦)</t>
  </si>
  <si>
    <t>Revenue Uplift (₦)</t>
  </si>
  <si>
    <t>% Revenue Increase</t>
  </si>
  <si>
    <t>Lingr Network — Visual Revenue Analysis</t>
  </si>
  <si>
    <t>Harvest Date</t>
  </si>
  <si>
    <t>Revenue Before (₦)</t>
  </si>
  <si>
    <t>Revenue After (₦)</t>
  </si>
  <si>
    <t>Total kg</t>
  </si>
  <si>
    <t>Total Revenue (₦)</t>
  </si>
  <si>
    <t>Customer</t>
  </si>
  <si>
    <t>Weekly Rev (₦)</t>
  </si>
  <si>
    <t>Annual Rev (₦)</t>
  </si>
  <si>
    <t>Restaurant</t>
  </si>
  <si>
    <t>After Lingr (same kg)</t>
  </si>
  <si>
    <t>Reseller</t>
  </si>
  <si>
    <t>Projected Weekly Revenue — Lingr Network Customers (Cucumber)</t>
  </si>
  <si>
    <t>Based on stable buyer commitments secured by Lingr Network</t>
  </si>
  <si>
    <t>Type</t>
  </si>
  <si>
    <t>Price/kg (₦)</t>
  </si>
  <si>
    <t>Min Buys/Week</t>
  </si>
  <si>
    <t>Max Buys/Week</t>
  </si>
  <si>
    <t>Min Weekly Rev (₦)</t>
  </si>
  <si>
    <t>Max Weekly Rev (₦)</t>
  </si>
  <si>
    <t>Note: Kg purchased per visit depends on harvest volume. Table below shows per-kg pricing commitment and visit frequency.</t>
  </si>
  <si>
    <t>▶ Enter assumed kg per visit below (blue cells) to auto-calculate revenue:</t>
  </si>
  <si>
    <t>Visits/Week</t>
  </si>
  <si>
    <t>Kg per Visit
(assumption)</t>
  </si>
  <si>
    <t>Premium Buyer</t>
  </si>
  <si>
    <t>TOTAL (combined customers)</t>
  </si>
  <si>
    <t>Lingr Network — Value Delivered to Client</t>
  </si>
  <si>
    <t>KPI</t>
  </si>
  <si>
    <t>Change</t>
  </si>
  <si>
    <t>Notes</t>
  </si>
  <si>
    <t>Avg Selling Price (₦/kg)</t>
  </si>
  <si>
    <t>Blended restaurant + reseller</t>
  </si>
  <si>
    <t>Price Uplift per kg (₦)</t>
  </si>
  <si>
    <t xml:space="preserve">Price Uplift % </t>
  </si>
  <si>
    <t>Harvest Revenue (sampled, ₦)</t>
  </si>
  <si>
    <t>From harvest log data</t>
  </si>
  <si>
    <t>Buyer Stability</t>
  </si>
  <si>
    <t>Ad-hoc / irregular</t>
  </si>
  <si>
    <t>2 stable premium buyers</t>
  </si>
  <si>
    <t>✔ Secured</t>
  </si>
  <si>
    <t>Year-round commitment</t>
  </si>
  <si>
    <t>Product Perishability Risk</t>
  </si>
  <si>
    <t>HIGH</t>
  </si>
  <si>
    <t>LOW — buyers pre-committed</t>
  </si>
  <si>
    <t>✔ Mitigated</t>
  </si>
  <si>
    <t>Cucumbers sold faster</t>
  </si>
  <si>
    <t>Next Product Pipeline</t>
  </si>
  <si>
    <t>None</t>
  </si>
  <si>
    <t>Bell Peppers (3 months)</t>
  </si>
  <si>
    <t>✔ Planned</t>
  </si>
  <si>
    <t>Lingr to secure buyers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</si>
</sst>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1A5276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1E8449"/>
      <name val="Arial"/>
      <family val="2"/>
      <charset val="1"/>
    </font>
    <font>
      <sz val="10"/>
      <color rgb="FFC0392B"/>
      <name val="Arial"/>
      <family val="2"/>
      <charset val="1"/>
    </font>
    <font>
      <sz val="10"/>
      <color rgb="FF888888"/>
      <name val="Arial"/>
      <family val="2"/>
      <charset val="1"/>
    </font>
    <font>
      <sz val="10"/>
      <color rgb="FF1E8449"/>
      <name val="Arial"/>
      <family val="2"/>
      <charset val="1"/>
    </font>
    <font>
      <b/>
      <sz val="10"/>
      <color rgb="FF888888"/>
      <name val="Arial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Arial"/>
      <family val="2"/>
      <charset val="1"/>
    </font>
    <font>
      <b/>
      <sz val="9"/>
      <color rgb="FF1A5276"/>
      <name val="Arial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F2F3F4"/>
        <bgColor rgb="FFEBF5FB"/>
      </patternFill>
    </fill>
    <fill>
      <patternFill patternType="solid">
        <fgColor rgb="FFD5F5E3"/>
        <bgColor rgb="FFD6EAF8"/>
      </patternFill>
    </fill>
    <fill>
      <patternFill patternType="solid">
        <fgColor rgb="FFF39C12"/>
        <bgColor rgb="FFFFCC00"/>
      </patternFill>
    </fill>
    <fill>
      <patternFill patternType="solid">
        <fgColor theme="0"/>
        <bgColor rgb="FFF2F3F4"/>
      </patternFill>
    </fill>
    <fill>
      <patternFill patternType="solid">
        <fgColor rgb="FFEBF5FB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theme="0"/>
        <bgColor rgb="FFD6EAF8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0" fillId="5" borderId="4" xfId="0" applyFill="1" applyBorder="1"/>
    <xf numFmtId="3" fontId="3" fillId="5" borderId="4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 wrapText="1"/>
    </xf>
    <xf numFmtId="3" fontId="6" fillId="6" borderId="6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6" borderId="0" xfId="0" applyFill="1"/>
    <xf numFmtId="0" fontId="8" fillId="6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3" fontId="8" fillId="6" borderId="6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0" fontId="0" fillId="0" borderId="5" xfId="0" applyBorder="1"/>
    <xf numFmtId="0" fontId="4" fillId="3" borderId="1" xfId="0" applyFont="1" applyFill="1" applyBorder="1" applyAlignment="1">
      <alignment vertical="center"/>
    </xf>
    <xf numFmtId="3" fontId="9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5" fontId="4" fillId="4" borderId="2" xfId="0" applyNumberFormat="1" applyFont="1" applyFill="1" applyBorder="1" applyAlignment="1">
      <alignment horizontal="center" vertical="center" wrapText="1"/>
    </xf>
    <xf numFmtId="16" fontId="0" fillId="0" borderId="0" xfId="0" applyNumberFormat="1"/>
    <xf numFmtId="165" fontId="0" fillId="0" borderId="0" xfId="1" applyNumberFormat="1" applyFont="1"/>
    <xf numFmtId="165" fontId="4" fillId="9" borderId="2" xfId="1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88888"/>
      <rgbColor rgb="FF9999FF"/>
      <rgbColor rgb="FFC0504D"/>
      <rgbColor rgb="FFF2F3F4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6600"/>
      <rgbColor rgb="FF4F81BD"/>
      <rgbColor rgb="FFAAAAAA"/>
      <rgbColor rgb="FF1A5276"/>
      <rgbColor rgb="FF1E8449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Per Harvest: Before vs After Lingr Network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 Revenue Before (₦) 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val>
            <c:numRef>
              <c:f>Charts!$C$4:$C$19</c:f>
              <c:numCache>
                <c:formatCode>_-* #,##0_-;\-* #,##0_-;_-* "-"??_-;_-@_-</c:formatCode>
                <c:ptCount val="16"/>
                <c:pt idx="0">
                  <c:v>6900</c:v>
                </c:pt>
                <c:pt idx="1">
                  <c:v>12000</c:v>
                </c:pt>
                <c:pt idx="2">
                  <c:v>36000</c:v>
                </c:pt>
                <c:pt idx="3">
                  <c:v>39600</c:v>
                </c:pt>
                <c:pt idx="4">
                  <c:v>27000</c:v>
                </c:pt>
                <c:pt idx="5">
                  <c:v>60000</c:v>
                </c:pt>
                <c:pt idx="6">
                  <c:v>51000</c:v>
                </c:pt>
                <c:pt idx="7">
                  <c:v>24000</c:v>
                </c:pt>
                <c:pt idx="8">
                  <c:v>78000</c:v>
                </c:pt>
                <c:pt idx="9">
                  <c:v>30000</c:v>
                </c:pt>
                <c:pt idx="10">
                  <c:v>72000</c:v>
                </c:pt>
                <c:pt idx="11">
                  <c:v>41400</c:v>
                </c:pt>
                <c:pt idx="12">
                  <c:v>48000</c:v>
                </c:pt>
                <c:pt idx="13">
                  <c:v>30000</c:v>
                </c:pt>
                <c:pt idx="14">
                  <c:v>13800</c:v>
                </c:pt>
                <c:pt idx="15">
                  <c:v>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A-40EC-B4D0-4BF8CFE104AC}"/>
            </c:ext>
          </c:extLst>
        </c:ser>
        <c:ser>
          <c:idx val="1"/>
          <c:order val="1"/>
          <c:tx>
            <c:strRef>
              <c:f>Charts!$D$3</c:f>
              <c:strCache>
                <c:ptCount val="1"/>
                <c:pt idx="0">
                  <c:v> Revenue After (₦) </c:v>
                </c:pt>
              </c:strCache>
            </c:strRef>
          </c:tx>
          <c:spPr>
            <a:solidFill>
              <a:srgbClr val="1E8449"/>
            </a:solidFill>
            <a:ln w="0">
              <a:solidFill>
                <a:srgbClr val="000000"/>
              </a:solidFill>
            </a:ln>
          </c:spPr>
          <c:invertIfNegative val="0"/>
          <c:val>
            <c:numRef>
              <c:f>Charts!$D$4:$D$19</c:f>
              <c:numCache>
                <c:formatCode>_-* #,##0_-;\-* #,##0_-;_-* "-"??_-;_-@_-</c:formatCode>
                <c:ptCount val="16"/>
                <c:pt idx="0">
                  <c:v>11500</c:v>
                </c:pt>
                <c:pt idx="1">
                  <c:v>20000</c:v>
                </c:pt>
                <c:pt idx="2">
                  <c:v>60000</c:v>
                </c:pt>
                <c:pt idx="3">
                  <c:v>66000</c:v>
                </c:pt>
                <c:pt idx="4">
                  <c:v>45000</c:v>
                </c:pt>
                <c:pt idx="5">
                  <c:v>100000</c:v>
                </c:pt>
                <c:pt idx="6">
                  <c:v>85000</c:v>
                </c:pt>
                <c:pt idx="7">
                  <c:v>40000</c:v>
                </c:pt>
                <c:pt idx="8">
                  <c:v>130000</c:v>
                </c:pt>
                <c:pt idx="9">
                  <c:v>50000</c:v>
                </c:pt>
                <c:pt idx="10">
                  <c:v>120000</c:v>
                </c:pt>
                <c:pt idx="11">
                  <c:v>69000</c:v>
                </c:pt>
                <c:pt idx="12">
                  <c:v>80000</c:v>
                </c:pt>
                <c:pt idx="13">
                  <c:v>50000</c:v>
                </c:pt>
                <c:pt idx="14">
                  <c:v>23000</c:v>
                </c:pt>
                <c:pt idx="15">
                  <c:v>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A-40EC-B4D0-4BF8CFE10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33431"/>
        <c:axId val="92118030"/>
      </c:barChart>
      <c:catAx>
        <c:axId val="193334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Harvest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18030"/>
        <c:crosses val="autoZero"/>
        <c:auto val="1"/>
        <c:lblAlgn val="ctr"/>
        <c:lblOffset val="100"/>
        <c:noMultiLvlLbl val="0"/>
      </c:catAx>
      <c:valAx>
        <c:axId val="921180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33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Uplift Per Harvest (₦) — Secured by Lingr Network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 Uplift (₦) </c:v>
                </c:pt>
              </c:strCache>
            </c:strRef>
          </c:tx>
          <c:spPr>
            <a:solidFill>
              <a:srgbClr val="F39C12"/>
            </a:solidFill>
            <a:ln w="0">
              <a:solidFill>
                <a:srgbClr val="000000"/>
              </a:solidFill>
            </a:ln>
          </c:spPr>
          <c:invertIfNegative val="0"/>
          <c:dLbls>
            <c:dLbl>
              <c:idx val="8"/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86-46A8-A6A3-1A21B2D35853}"/>
                </c:ext>
              </c:extLst>
            </c:dLbl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Charts!$E$4:$E$19</c:f>
              <c:numCache>
                <c:formatCode>_-* #,##0_-;\-* #,##0_-;_-* "-"??_-;_-@_-</c:formatCode>
                <c:ptCount val="16"/>
                <c:pt idx="0">
                  <c:v>4600</c:v>
                </c:pt>
                <c:pt idx="1">
                  <c:v>8000</c:v>
                </c:pt>
                <c:pt idx="2">
                  <c:v>24000</c:v>
                </c:pt>
                <c:pt idx="3">
                  <c:v>26400</c:v>
                </c:pt>
                <c:pt idx="4">
                  <c:v>18000</c:v>
                </c:pt>
                <c:pt idx="5">
                  <c:v>40000</c:v>
                </c:pt>
                <c:pt idx="6">
                  <c:v>34000</c:v>
                </c:pt>
                <c:pt idx="7">
                  <c:v>16000</c:v>
                </c:pt>
                <c:pt idx="8">
                  <c:v>52000</c:v>
                </c:pt>
                <c:pt idx="9">
                  <c:v>20000</c:v>
                </c:pt>
                <c:pt idx="10">
                  <c:v>48000</c:v>
                </c:pt>
                <c:pt idx="11">
                  <c:v>27600</c:v>
                </c:pt>
                <c:pt idx="12">
                  <c:v>32000</c:v>
                </c:pt>
                <c:pt idx="13">
                  <c:v>20000</c:v>
                </c:pt>
                <c:pt idx="14">
                  <c:v>9200</c:v>
                </c:pt>
                <c:pt idx="15">
                  <c:v>23200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2-4FB4-90D7-CB388305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8601"/>
        <c:axId val="26274414"/>
      </c:barChart>
      <c:catAx>
        <c:axId val="62486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Harvest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74414"/>
        <c:crosses val="autoZero"/>
        <c:auto val="1"/>
        <c:lblAlgn val="ctr"/>
        <c:lblOffset val="100"/>
        <c:noMultiLvlLbl val="0"/>
      </c:catAx>
      <c:valAx>
        <c:axId val="262744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Uplift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48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Harvest Volume Trend (kg) — GH2 &amp; GH3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Total kg</c:v>
                </c:pt>
              </c:strCache>
            </c:strRef>
          </c:tx>
          <c:spPr>
            <a:ln w="24840">
              <a:solidFill>
                <a:srgbClr val="1A5276"/>
              </a:solidFill>
              <a:round/>
            </a:ln>
          </c:spPr>
          <c:marker>
            <c:symbol val="circle"/>
            <c:size val="8"/>
            <c:spPr>
              <a:solidFill>
                <a:srgbClr val="1A527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Charts!$F$4:$F$19</c:f>
              <c:numCache>
                <c:formatCode>General</c:formatCode>
                <c:ptCount val="16"/>
                <c:pt idx="0">
                  <c:v>11.5</c:v>
                </c:pt>
                <c:pt idx="1">
                  <c:v>20</c:v>
                </c:pt>
                <c:pt idx="2">
                  <c:v>60</c:v>
                </c:pt>
                <c:pt idx="3">
                  <c:v>66</c:v>
                </c:pt>
                <c:pt idx="4">
                  <c:v>45</c:v>
                </c:pt>
                <c:pt idx="5">
                  <c:v>100</c:v>
                </c:pt>
                <c:pt idx="6">
                  <c:v>85</c:v>
                </c:pt>
                <c:pt idx="7">
                  <c:v>40</c:v>
                </c:pt>
                <c:pt idx="8">
                  <c:v>130</c:v>
                </c:pt>
                <c:pt idx="9" formatCode="_-* #,##0_-;\-* #,##0_-;_-* &quot;-&quot;??_-;_-@_-">
                  <c:v>50</c:v>
                </c:pt>
                <c:pt idx="10" formatCode="_-* #,##0_-;\-* #,##0_-;_-* &quot;-&quot;??_-;_-@_-">
                  <c:v>120</c:v>
                </c:pt>
                <c:pt idx="11" formatCode="_-* #,##0_-;\-* #,##0_-;_-* &quot;-&quot;??_-;_-@_-">
                  <c:v>69</c:v>
                </c:pt>
                <c:pt idx="12" formatCode="_-* #,##0_-;\-* #,##0_-;_-* &quot;-&quot;??_-;_-@_-">
                  <c:v>60</c:v>
                </c:pt>
                <c:pt idx="13" formatCode="_-* #,##0_-;\-* #,##0_-;_-* &quot;-&quot;??_-;_-@_-">
                  <c:v>59</c:v>
                </c:pt>
                <c:pt idx="14" formatCode="_-* #,##0_-;\-* #,##0_-;_-* &quot;-&quot;??_-;_-@_-">
                  <c:v>23</c:v>
                </c:pt>
                <c:pt idx="15" formatCode="_-* #,##0_-;\-* #,##0_-;_-* &quot;-&quot;??_-;_-@_-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77-4C41-B5ED-01F1A33D7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326327"/>
        <c:axId val="94384833"/>
      </c:lineChart>
      <c:catAx>
        <c:axId val="54326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Harvest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84833"/>
        <c:crosses val="autoZero"/>
        <c:auto val="1"/>
        <c:lblAlgn val="ctr"/>
        <c:lblOffset val="100"/>
        <c:noMultiLvlLbl val="0"/>
      </c:catAx>
      <c:valAx>
        <c:axId val="943848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26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 Revenue Split: Before vs After Lingr Network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Charts!$I$3</c:f>
              <c:strCache>
                <c:ptCount val="1"/>
                <c:pt idx="0">
                  <c:v> Total Revenue (₦) 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13F-43D0-BA4C-F56FABDEA58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13F-43D0-BA4C-F56FABDEA581}"/>
              </c:ext>
            </c:extLst>
          </c:dPt>
          <c:dLbls>
            <c:dLbl>
              <c:idx val="0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0D3DDE0C-816F-430E-91A5-1DEB669ADDA2}" type="SERIESNAME">
                      <a:rPr lang="en-US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baseline="0"/>
                      <a:t>; </a:t>
                    </a:r>
                    <a:fld id="{A720F05A-1B8B-4FDB-A604-EA7B337F7C5C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baseline="0"/>
                      <a:t>; #604,500; </a:t>
                    </a:r>
                    <a:fld id="{A2F20273-F2F9-4DC0-BE21-CC59D6FEE2D1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3F-43D0-BA4C-F56FABDEA581}"/>
                </c:ext>
              </c:extLst>
            </c:dLbl>
            <c:dLbl>
              <c:idx val="1"/>
              <c:tx>
                <c:rich>
                  <a:bodyPr wrap="square"/>
                  <a:lstStyle/>
                  <a:p>
                    <a:pPr>
                      <a:defRPr sz="1000" b="0" strike="noStrike" spc="-1">
                        <a:solidFill>
                          <a:srgbClr val="000000"/>
                        </a:solidFill>
                        <a:latin typeface="Calibri"/>
                      </a:defRPr>
                    </a:pPr>
                    <a:fld id="{32F7DBEE-B5D3-4535-B18E-FB8B2A1E41B2}" type="SERIESNAME">
                      <a:rPr lang="en-US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[SERIES NAME]</a:t>
                    </a:fld>
                    <a:r>
                      <a:rPr lang="en-US" baseline="0"/>
                      <a:t>; </a:t>
                    </a:r>
                    <a:fld id="{26305110-CF58-4895-8674-6BA57945302F}" type="CATEGORYNAM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[CATEGORY NAME]</a:t>
                    </a:fld>
                    <a:r>
                      <a:rPr lang="en-US" baseline="0"/>
                      <a:t>; #1,007,500; </a:t>
                    </a:r>
                    <a:fld id="{251F5FA4-25B3-41D3-A978-EDD5D6E7B8E5}" type="PERCENTAGE">
                      <a:rPr lang="en-US" baseline="0"/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/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3F-43D0-BA4C-F56FABDEA5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Charts!$H$4:$H$5</c:f>
              <c:strCache>
                <c:ptCount val="2"/>
                <c:pt idx="0">
                  <c:v>Before Lingr</c:v>
                </c:pt>
                <c:pt idx="1">
                  <c:v>After Lingr (same kg)</c:v>
                </c:pt>
              </c:strCache>
            </c:strRef>
          </c:cat>
          <c:val>
            <c:numRef>
              <c:f>Charts!$I$4:$I$5</c:f>
              <c:numCache>
                <c:formatCode>_-* #,##0_-;\-* #,##0_-;_-* "-"??_-;_-@_-</c:formatCode>
                <c:ptCount val="2"/>
                <c:pt idx="0">
                  <c:v>604500</c:v>
                </c:pt>
                <c:pt idx="1">
                  <c:v>1007500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3F-43D0-BA4C-F56FABDEA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529167</xdr:colOff>
      <xdr:row>1</xdr:row>
      <xdr:rowOff>108307</xdr:rowOff>
    </xdr:from>
    <xdr:to>
      <xdr:col>30</xdr:col>
      <xdr:colOff>592667</xdr:colOff>
      <xdr:row>25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575523</xdr:colOff>
      <xdr:row>27</xdr:row>
      <xdr:rowOff>147123</xdr:rowOff>
    </xdr:from>
    <xdr:to>
      <xdr:col>30</xdr:col>
      <xdr:colOff>585108</xdr:colOff>
      <xdr:row>57</xdr:row>
      <xdr:rowOff>72571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289892</xdr:colOff>
      <xdr:row>27</xdr:row>
      <xdr:rowOff>110436</xdr:rowOff>
    </xdr:from>
    <xdr:to>
      <xdr:col>44</xdr:col>
      <xdr:colOff>82826</xdr:colOff>
      <xdr:row>57</xdr:row>
      <xdr:rowOff>42334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32</xdr:col>
      <xdr:colOff>262283</xdr:colOff>
      <xdr:row>1</xdr:row>
      <xdr:rowOff>98961</xdr:rowOff>
    </xdr:from>
    <xdr:to>
      <xdr:col>44</xdr:col>
      <xdr:colOff>41412</xdr:colOff>
      <xdr:row>25</xdr:row>
      <xdr:rowOff>82827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78" zoomScaleNormal="100" workbookViewId="0">
      <pane ySplit="3" topLeftCell="A8" activePane="bottomLeft" state="frozen"/>
      <selection pane="bottomLeft" activeCell="J13" sqref="J13"/>
    </sheetView>
  </sheetViews>
  <sheetFormatPr defaultColWidth="8.6328125" defaultRowHeight="14.5" x14ac:dyDescent="0.35"/>
  <cols>
    <col min="1" max="1" width="10.26953125" bestFit="1" customWidth="1"/>
    <col min="2" max="2" width="9.54296875" customWidth="1"/>
    <col min="3" max="4" width="9" customWidth="1"/>
    <col min="5" max="5" width="9.6328125" customWidth="1"/>
    <col min="6" max="6" width="11.54296875" customWidth="1"/>
    <col min="7" max="7" width="12" customWidth="1"/>
    <col min="8" max="8" width="10" bestFit="1" customWidth="1"/>
    <col min="9" max="10" width="10.26953125" customWidth="1"/>
    <col min="11" max="11" width="9.54296875" bestFit="1" customWidth="1"/>
    <col min="12" max="12" width="8.90625" customWidth="1"/>
  </cols>
  <sheetData>
    <row r="1" spans="1:12" ht="27.75" customHeight="1" x14ac:dyDescent="0.3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15" customHeight="1" x14ac:dyDescent="0.3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87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23.25" customHeight="1" x14ac:dyDescent="0.35">
      <c r="A4" s="2" t="str">
        <f>TEXT(B4, "dddd")</f>
        <v>Thursday</v>
      </c>
      <c r="B4" s="2" t="s">
        <v>13</v>
      </c>
      <c r="C4" s="2">
        <v>11.5</v>
      </c>
      <c r="D4" s="2">
        <v>0</v>
      </c>
      <c r="E4" s="3">
        <f t="shared" ref="E4:E19" si="0">C4+D4</f>
        <v>11.5</v>
      </c>
      <c r="F4" s="4" t="s">
        <v>14</v>
      </c>
      <c r="G4" s="5">
        <v>600</v>
      </c>
      <c r="H4" s="4" t="s">
        <v>15</v>
      </c>
      <c r="I4" s="5">
        <v>1000</v>
      </c>
      <c r="J4" s="6">
        <f t="shared" ref="J4:J19" si="1">E4*G4</f>
        <v>6900</v>
      </c>
      <c r="K4" s="6">
        <f t="shared" ref="K4:K19" si="2">E4*I4</f>
        <v>11500</v>
      </c>
      <c r="L4" s="7">
        <f t="shared" ref="L4:L19" si="3">K4-J4</f>
        <v>4600</v>
      </c>
    </row>
    <row r="5" spans="1:12" ht="23.25" customHeight="1" x14ac:dyDescent="0.35">
      <c r="A5" s="2" t="str">
        <f t="shared" ref="A5:A19" si="4">TEXT(B5, "dddd")</f>
        <v>Thursday</v>
      </c>
      <c r="B5" s="2" t="s">
        <v>16</v>
      </c>
      <c r="C5" s="2">
        <v>20</v>
      </c>
      <c r="D5" s="2">
        <v>0</v>
      </c>
      <c r="E5" s="3">
        <f t="shared" si="0"/>
        <v>20</v>
      </c>
      <c r="F5" s="4" t="s">
        <v>14</v>
      </c>
      <c r="G5" s="5">
        <v>600</v>
      </c>
      <c r="H5" s="4" t="s">
        <v>15</v>
      </c>
      <c r="I5" s="5">
        <v>1000</v>
      </c>
      <c r="J5" s="6">
        <f t="shared" si="1"/>
        <v>12000</v>
      </c>
      <c r="K5" s="6">
        <f t="shared" si="2"/>
        <v>20000</v>
      </c>
      <c r="L5" s="7">
        <f t="shared" si="3"/>
        <v>8000</v>
      </c>
    </row>
    <row r="6" spans="1:12" ht="23.25" customHeight="1" x14ac:dyDescent="0.35">
      <c r="A6" s="2" t="str">
        <f t="shared" si="4"/>
        <v>Monday</v>
      </c>
      <c r="B6" s="2" t="s">
        <v>17</v>
      </c>
      <c r="C6" s="2">
        <v>60</v>
      </c>
      <c r="D6" s="2">
        <v>0</v>
      </c>
      <c r="E6" s="3">
        <f t="shared" si="0"/>
        <v>60</v>
      </c>
      <c r="F6" s="4" t="s">
        <v>14</v>
      </c>
      <c r="G6" s="5">
        <v>600</v>
      </c>
      <c r="H6" s="4" t="s">
        <v>15</v>
      </c>
      <c r="I6" s="5">
        <v>1000</v>
      </c>
      <c r="J6" s="6">
        <f t="shared" si="1"/>
        <v>36000</v>
      </c>
      <c r="K6" s="6">
        <f t="shared" si="2"/>
        <v>60000</v>
      </c>
      <c r="L6" s="7">
        <f t="shared" si="3"/>
        <v>24000</v>
      </c>
    </row>
    <row r="7" spans="1:12" ht="23.25" customHeight="1" x14ac:dyDescent="0.35">
      <c r="A7" s="2" t="str">
        <f t="shared" si="4"/>
        <v>Thursday</v>
      </c>
      <c r="B7" s="2" t="s">
        <v>18</v>
      </c>
      <c r="C7" s="2">
        <v>66</v>
      </c>
      <c r="D7" s="2">
        <v>0</v>
      </c>
      <c r="E7" s="3">
        <f t="shared" si="0"/>
        <v>66</v>
      </c>
      <c r="F7" s="4" t="s">
        <v>14</v>
      </c>
      <c r="G7" s="5">
        <v>600</v>
      </c>
      <c r="H7" s="4" t="s">
        <v>15</v>
      </c>
      <c r="I7" s="5">
        <v>1000</v>
      </c>
      <c r="J7" s="6">
        <f t="shared" si="1"/>
        <v>39600</v>
      </c>
      <c r="K7" s="6">
        <f t="shared" si="2"/>
        <v>66000</v>
      </c>
      <c r="L7" s="7">
        <f t="shared" si="3"/>
        <v>26400</v>
      </c>
    </row>
    <row r="8" spans="1:12" ht="23.25" customHeight="1" x14ac:dyDescent="0.35">
      <c r="A8" s="2" t="str">
        <f t="shared" si="4"/>
        <v>Saturday</v>
      </c>
      <c r="B8" s="2" t="s">
        <v>19</v>
      </c>
      <c r="C8" s="2">
        <v>45</v>
      </c>
      <c r="D8" s="2">
        <v>0</v>
      </c>
      <c r="E8" s="3">
        <f t="shared" si="0"/>
        <v>45</v>
      </c>
      <c r="F8" s="4" t="s">
        <v>14</v>
      </c>
      <c r="G8" s="5">
        <v>600</v>
      </c>
      <c r="H8" s="4" t="s">
        <v>15</v>
      </c>
      <c r="I8" s="5">
        <v>1000</v>
      </c>
      <c r="J8" s="6">
        <f t="shared" si="1"/>
        <v>27000</v>
      </c>
      <c r="K8" s="6">
        <f t="shared" si="2"/>
        <v>45000</v>
      </c>
      <c r="L8" s="7">
        <f t="shared" si="3"/>
        <v>18000</v>
      </c>
    </row>
    <row r="9" spans="1:12" ht="15" customHeight="1" x14ac:dyDescent="0.35">
      <c r="A9" s="2" t="str">
        <f t="shared" si="4"/>
        <v>Monday</v>
      </c>
      <c r="B9" s="8" t="s">
        <v>20</v>
      </c>
      <c r="C9" s="8">
        <v>95</v>
      </c>
      <c r="D9" s="8">
        <v>5</v>
      </c>
      <c r="E9" s="9">
        <f t="shared" si="0"/>
        <v>100</v>
      </c>
      <c r="F9" s="4" t="s">
        <v>14</v>
      </c>
      <c r="G9" s="5">
        <v>600</v>
      </c>
      <c r="H9" s="4" t="s">
        <v>15</v>
      </c>
      <c r="I9" s="5">
        <v>1000</v>
      </c>
      <c r="J9" s="6">
        <f t="shared" si="1"/>
        <v>60000</v>
      </c>
      <c r="K9" s="6">
        <f t="shared" si="2"/>
        <v>100000</v>
      </c>
      <c r="L9" s="10">
        <f t="shared" si="3"/>
        <v>40000</v>
      </c>
    </row>
    <row r="10" spans="1:12" ht="15" customHeight="1" x14ac:dyDescent="0.35">
      <c r="A10" s="2" t="str">
        <f t="shared" si="4"/>
        <v>Thursday</v>
      </c>
      <c r="B10" s="8" t="s">
        <v>21</v>
      </c>
      <c r="C10" s="8">
        <v>75</v>
      </c>
      <c r="D10" s="8">
        <v>10</v>
      </c>
      <c r="E10" s="9">
        <f t="shared" si="0"/>
        <v>85</v>
      </c>
      <c r="F10" s="4" t="s">
        <v>14</v>
      </c>
      <c r="G10" s="5">
        <v>600</v>
      </c>
      <c r="H10" s="4" t="s">
        <v>15</v>
      </c>
      <c r="I10" s="5">
        <v>1000</v>
      </c>
      <c r="J10" s="6">
        <f t="shared" si="1"/>
        <v>51000</v>
      </c>
      <c r="K10" s="6">
        <f t="shared" si="2"/>
        <v>85000</v>
      </c>
      <c r="L10" s="10">
        <f t="shared" si="3"/>
        <v>34000</v>
      </c>
    </row>
    <row r="11" spans="1:12" ht="15" customHeight="1" x14ac:dyDescent="0.35">
      <c r="A11" s="2" t="str">
        <f t="shared" si="4"/>
        <v>Saturday</v>
      </c>
      <c r="B11" s="8" t="s">
        <v>22</v>
      </c>
      <c r="C11" s="8">
        <v>25</v>
      </c>
      <c r="D11" s="8">
        <v>15</v>
      </c>
      <c r="E11" s="9">
        <f t="shared" si="0"/>
        <v>40</v>
      </c>
      <c r="F11" s="4" t="s">
        <v>14</v>
      </c>
      <c r="G11" s="5">
        <v>600</v>
      </c>
      <c r="H11" s="4" t="s">
        <v>15</v>
      </c>
      <c r="I11" s="5">
        <v>1000</v>
      </c>
      <c r="J11" s="6">
        <f t="shared" si="1"/>
        <v>24000</v>
      </c>
      <c r="K11" s="6">
        <f t="shared" si="2"/>
        <v>40000</v>
      </c>
      <c r="L11" s="10">
        <f t="shared" si="3"/>
        <v>16000</v>
      </c>
    </row>
    <row r="12" spans="1:12" ht="15" customHeight="1" x14ac:dyDescent="0.35">
      <c r="A12" s="2" t="str">
        <f t="shared" si="4"/>
        <v>Monday</v>
      </c>
      <c r="B12" s="8" t="s">
        <v>23</v>
      </c>
      <c r="C12" s="8">
        <v>90</v>
      </c>
      <c r="D12" s="8">
        <v>40</v>
      </c>
      <c r="E12" s="9">
        <f t="shared" si="0"/>
        <v>130</v>
      </c>
      <c r="F12" s="4" t="s">
        <v>14</v>
      </c>
      <c r="G12" s="5">
        <v>600</v>
      </c>
      <c r="H12" s="4" t="s">
        <v>15</v>
      </c>
      <c r="I12" s="5">
        <v>1000</v>
      </c>
      <c r="J12" s="6">
        <f t="shared" si="1"/>
        <v>78000</v>
      </c>
      <c r="K12" s="6">
        <f t="shared" si="2"/>
        <v>130000</v>
      </c>
      <c r="L12" s="10">
        <f t="shared" si="3"/>
        <v>52000</v>
      </c>
    </row>
    <row r="13" spans="1:12" ht="15" customHeight="1" x14ac:dyDescent="0.35">
      <c r="A13" s="2" t="str">
        <f t="shared" si="4"/>
        <v>Wednesday</v>
      </c>
      <c r="B13" s="53">
        <v>46197</v>
      </c>
      <c r="C13" s="11">
        <v>50</v>
      </c>
      <c r="D13" s="11"/>
      <c r="E13" s="9">
        <f t="shared" si="0"/>
        <v>50</v>
      </c>
      <c r="F13" s="4" t="s">
        <v>14</v>
      </c>
      <c r="G13" s="5">
        <v>600</v>
      </c>
      <c r="H13" s="4" t="s">
        <v>15</v>
      </c>
      <c r="I13" s="5">
        <v>1000</v>
      </c>
      <c r="J13" s="6">
        <f t="shared" si="1"/>
        <v>30000</v>
      </c>
      <c r="K13" s="6">
        <f t="shared" si="2"/>
        <v>50000</v>
      </c>
      <c r="L13" s="10">
        <f t="shared" si="3"/>
        <v>20000</v>
      </c>
    </row>
    <row r="14" spans="1:12" ht="15" customHeight="1" x14ac:dyDescent="0.35">
      <c r="A14" s="2" t="str">
        <f t="shared" si="4"/>
        <v>Thursday</v>
      </c>
      <c r="B14" s="53">
        <v>46198</v>
      </c>
      <c r="C14" s="11">
        <v>30</v>
      </c>
      <c r="D14" s="11">
        <v>90</v>
      </c>
      <c r="E14" s="9">
        <f t="shared" si="0"/>
        <v>120</v>
      </c>
      <c r="F14" s="4" t="s">
        <v>14</v>
      </c>
      <c r="G14" s="5">
        <v>600</v>
      </c>
      <c r="H14" s="4" t="s">
        <v>15</v>
      </c>
      <c r="I14" s="5">
        <v>1000</v>
      </c>
      <c r="J14" s="6">
        <f t="shared" si="1"/>
        <v>72000</v>
      </c>
      <c r="K14" s="6">
        <f t="shared" si="2"/>
        <v>120000</v>
      </c>
      <c r="L14" s="10">
        <f t="shared" si="3"/>
        <v>48000</v>
      </c>
    </row>
    <row r="15" spans="1:12" ht="15" customHeight="1" x14ac:dyDescent="0.35">
      <c r="A15" s="2" t="str">
        <f t="shared" si="4"/>
        <v>Saturday</v>
      </c>
      <c r="B15" s="53">
        <v>46200</v>
      </c>
      <c r="C15" s="11">
        <v>51</v>
      </c>
      <c r="D15" s="11">
        <v>18</v>
      </c>
      <c r="E15" s="9">
        <f t="shared" si="0"/>
        <v>69</v>
      </c>
      <c r="F15" s="4" t="s">
        <v>14</v>
      </c>
      <c r="G15" s="5">
        <v>600</v>
      </c>
      <c r="H15" s="4" t="s">
        <v>15</v>
      </c>
      <c r="I15" s="5">
        <v>1000</v>
      </c>
      <c r="J15" s="6">
        <f t="shared" si="1"/>
        <v>41400</v>
      </c>
      <c r="K15" s="6">
        <f t="shared" si="2"/>
        <v>69000</v>
      </c>
      <c r="L15" s="10">
        <f t="shared" si="3"/>
        <v>27600</v>
      </c>
    </row>
    <row r="16" spans="1:12" ht="15" customHeight="1" x14ac:dyDescent="0.35">
      <c r="A16" s="2" t="str">
        <f t="shared" si="4"/>
        <v>Monday</v>
      </c>
      <c r="B16" s="53">
        <v>46202</v>
      </c>
      <c r="C16" s="11">
        <v>50</v>
      </c>
      <c r="D16" s="11">
        <v>30</v>
      </c>
      <c r="E16" s="9">
        <f t="shared" si="0"/>
        <v>80</v>
      </c>
      <c r="F16" s="4" t="s">
        <v>14</v>
      </c>
      <c r="G16" s="5">
        <v>600</v>
      </c>
      <c r="H16" s="4" t="s">
        <v>15</v>
      </c>
      <c r="I16" s="5">
        <v>1000</v>
      </c>
      <c r="J16" s="6">
        <f t="shared" si="1"/>
        <v>48000</v>
      </c>
      <c r="K16" s="6">
        <f t="shared" si="2"/>
        <v>80000</v>
      </c>
      <c r="L16" s="10">
        <f t="shared" si="3"/>
        <v>32000</v>
      </c>
    </row>
    <row r="17" spans="1:12" ht="15" customHeight="1" x14ac:dyDescent="0.35">
      <c r="A17" s="2" t="str">
        <f t="shared" si="4"/>
        <v>Wednesday</v>
      </c>
      <c r="B17" s="53">
        <v>46204</v>
      </c>
      <c r="C17" s="11">
        <v>29</v>
      </c>
      <c r="D17" s="11">
        <v>21</v>
      </c>
      <c r="E17" s="9">
        <f t="shared" si="0"/>
        <v>50</v>
      </c>
      <c r="F17" s="4" t="s">
        <v>14</v>
      </c>
      <c r="G17" s="5">
        <v>600</v>
      </c>
      <c r="H17" s="4" t="s">
        <v>15</v>
      </c>
      <c r="I17" s="5">
        <v>1000</v>
      </c>
      <c r="J17" s="6">
        <f t="shared" si="1"/>
        <v>30000</v>
      </c>
      <c r="K17" s="6">
        <f t="shared" si="2"/>
        <v>50000</v>
      </c>
      <c r="L17" s="10">
        <f t="shared" si="3"/>
        <v>20000</v>
      </c>
    </row>
    <row r="18" spans="1:12" ht="15" customHeight="1" x14ac:dyDescent="0.35">
      <c r="A18" s="11" t="str">
        <f t="shared" si="4"/>
        <v>Thursday</v>
      </c>
      <c r="B18" s="53">
        <v>46205</v>
      </c>
      <c r="C18" s="11">
        <v>0</v>
      </c>
      <c r="D18" s="11">
        <v>23</v>
      </c>
      <c r="E18" s="9">
        <f t="shared" si="0"/>
        <v>23</v>
      </c>
      <c r="F18" s="4" t="s">
        <v>14</v>
      </c>
      <c r="G18" s="5">
        <v>600</v>
      </c>
      <c r="H18" s="4" t="s">
        <v>15</v>
      </c>
      <c r="I18" s="5">
        <v>1000</v>
      </c>
      <c r="J18" s="6">
        <f t="shared" si="1"/>
        <v>13800</v>
      </c>
      <c r="K18" s="6">
        <f t="shared" si="2"/>
        <v>23000</v>
      </c>
      <c r="L18" s="10">
        <f t="shared" si="3"/>
        <v>9200</v>
      </c>
    </row>
    <row r="19" spans="1:12" ht="15" customHeight="1" x14ac:dyDescent="0.35">
      <c r="A19" s="11" t="str">
        <f t="shared" si="4"/>
        <v>Saturday</v>
      </c>
      <c r="B19" s="53">
        <v>46207</v>
      </c>
      <c r="C19" s="11">
        <v>8</v>
      </c>
      <c r="D19" s="11">
        <v>50</v>
      </c>
      <c r="E19" s="9">
        <f t="shared" si="0"/>
        <v>58</v>
      </c>
      <c r="F19" s="4" t="s">
        <v>14</v>
      </c>
      <c r="G19" s="5">
        <v>600</v>
      </c>
      <c r="H19" s="4" t="s">
        <v>15</v>
      </c>
      <c r="I19" s="5">
        <v>1000</v>
      </c>
      <c r="J19" s="6">
        <f t="shared" si="1"/>
        <v>34800</v>
      </c>
      <c r="K19" s="6">
        <f t="shared" si="2"/>
        <v>58000</v>
      </c>
      <c r="L19" s="10">
        <f t="shared" si="3"/>
        <v>23200</v>
      </c>
    </row>
    <row r="20" spans="1:12" ht="15" customHeight="1" x14ac:dyDescent="0.35">
      <c r="A20" s="11"/>
      <c r="B20" s="11"/>
      <c r="C20" s="11"/>
      <c r="D20" s="11"/>
      <c r="E20" s="12"/>
      <c r="F20" s="4"/>
      <c r="G20" s="5"/>
      <c r="H20" s="4"/>
      <c r="I20" s="5"/>
      <c r="J20" s="6"/>
      <c r="K20" s="6"/>
      <c r="L20" s="10"/>
    </row>
    <row r="21" spans="1:12" ht="15" customHeight="1" x14ac:dyDescent="0.35">
      <c r="A21" s="11"/>
      <c r="B21" s="11"/>
      <c r="C21" s="11"/>
      <c r="D21" s="11"/>
      <c r="E21" s="12"/>
      <c r="F21" s="13"/>
      <c r="G21" s="14"/>
      <c r="H21" s="13"/>
      <c r="I21" s="14"/>
      <c r="J21" s="15"/>
      <c r="K21" s="16"/>
      <c r="L21" s="10"/>
    </row>
    <row r="22" spans="1:12" ht="15" customHeight="1" x14ac:dyDescent="0.35">
      <c r="A22" s="11"/>
      <c r="B22" s="11"/>
      <c r="C22" s="11" t="s">
        <v>24</v>
      </c>
      <c r="D22" s="11" t="s">
        <v>24</v>
      </c>
      <c r="E22" s="12" t="s">
        <v>24</v>
      </c>
      <c r="F22" s="13"/>
      <c r="G22" s="14"/>
      <c r="H22" s="13"/>
      <c r="I22" s="14"/>
      <c r="J22" s="15"/>
      <c r="K22" s="16"/>
      <c r="L22" s="10"/>
    </row>
    <row r="23" spans="1:12" ht="15" customHeight="1" x14ac:dyDescent="0.35">
      <c r="A23" s="11"/>
      <c r="B23" s="11"/>
      <c r="C23" s="11">
        <f>SUM(C4:C19)</f>
        <v>705.5</v>
      </c>
      <c r="D23" s="11">
        <f>SUM(D4:D19)</f>
        <v>302</v>
      </c>
      <c r="E23" s="12">
        <f>SUM(E4:E19)</f>
        <v>1007.5</v>
      </c>
      <c r="F23" s="13"/>
      <c r="G23" s="14"/>
      <c r="H23" s="13"/>
      <c r="I23" s="14"/>
      <c r="J23" s="15"/>
      <c r="K23" s="16"/>
      <c r="L23" s="10"/>
    </row>
    <row r="24" spans="1:12" ht="15" customHeight="1" x14ac:dyDescent="0.35">
      <c r="A24" s="11"/>
      <c r="B24" s="11"/>
      <c r="C24" s="11"/>
      <c r="D24" s="11"/>
      <c r="E24" s="12"/>
      <c r="F24" s="13"/>
      <c r="G24" s="14"/>
      <c r="H24" s="13"/>
      <c r="I24" s="14"/>
      <c r="J24" s="15" t="s">
        <v>24</v>
      </c>
      <c r="K24" s="16" t="s">
        <v>24</v>
      </c>
      <c r="L24" s="10"/>
    </row>
    <row r="25" spans="1:12" ht="15" customHeight="1" x14ac:dyDescent="0.35">
      <c r="A25" s="60" t="s">
        <v>25</v>
      </c>
      <c r="B25" s="60"/>
      <c r="C25" s="60"/>
      <c r="D25" s="60"/>
      <c r="E25" s="60"/>
      <c r="F25" s="17"/>
      <c r="G25" s="18"/>
      <c r="H25" s="17"/>
      <c r="I25" s="18"/>
      <c r="J25" s="19">
        <f>SUM(J4:J19)</f>
        <v>604500</v>
      </c>
      <c r="K25" s="19">
        <f>SUM(K4:K19)</f>
        <v>1007500</v>
      </c>
      <c r="L25" s="19">
        <f>SUM(L4:L19)</f>
        <v>403000</v>
      </c>
    </row>
    <row r="26" spans="1:12" s="24" customFormat="1" ht="15" customHeight="1" x14ac:dyDescent="0.35">
      <c r="A26" s="20"/>
      <c r="B26" s="20"/>
      <c r="C26" s="20"/>
      <c r="D26" s="20"/>
      <c r="E26" s="20"/>
      <c r="F26" s="20"/>
      <c r="G26" s="20"/>
      <c r="H26" s="21"/>
      <c r="I26" s="21"/>
      <c r="J26" s="22"/>
      <c r="K26" s="23"/>
      <c r="L26" s="23"/>
    </row>
    <row r="27" spans="1:12" s="24" customFormat="1" ht="15" customHeight="1" x14ac:dyDescent="0.35">
      <c r="A27" s="25"/>
      <c r="B27" s="25"/>
      <c r="C27" s="25"/>
      <c r="D27" s="25"/>
      <c r="E27" s="25"/>
      <c r="F27" s="25"/>
      <c r="G27" s="25"/>
      <c r="H27" s="26"/>
      <c r="I27" s="26"/>
      <c r="J27" s="27"/>
      <c r="K27" s="28"/>
      <c r="L27" s="28"/>
    </row>
    <row r="28" spans="1:12" x14ac:dyDescent="0.35">
      <c r="A28" s="29"/>
      <c r="B28" s="29"/>
      <c r="C28" s="29"/>
      <c r="D28" s="29"/>
      <c r="E28" s="29"/>
      <c r="F28" s="29"/>
      <c r="G28" s="29"/>
      <c r="H28" s="29"/>
      <c r="I28" s="29"/>
    </row>
  </sheetData>
  <mergeCells count="3">
    <mergeCell ref="A1:L1"/>
    <mergeCell ref="A2:L2"/>
    <mergeCell ref="A25:E25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="95" zoomScaleNormal="131" workbookViewId="0">
      <selection activeCell="C9" sqref="C9"/>
    </sheetView>
  </sheetViews>
  <sheetFormatPr defaultColWidth="8.6328125" defaultRowHeight="14.5" x14ac:dyDescent="0.35"/>
  <cols>
    <col min="1" max="1" width="38" customWidth="1"/>
    <col min="2" max="3" width="20" customWidth="1"/>
  </cols>
  <sheetData>
    <row r="1" spans="1:6" ht="27.75" customHeight="1" x14ac:dyDescent="0.35">
      <c r="A1" s="58" t="s">
        <v>26</v>
      </c>
      <c r="B1" s="58"/>
      <c r="C1" s="58"/>
      <c r="D1" s="58"/>
      <c r="E1" s="58"/>
      <c r="F1" s="58"/>
    </row>
    <row r="2" spans="1:6" ht="15" customHeight="1" x14ac:dyDescent="0.35">
      <c r="A2" s="1" t="s">
        <v>27</v>
      </c>
      <c r="B2" s="1" t="s">
        <v>14</v>
      </c>
      <c r="C2" s="1" t="s">
        <v>15</v>
      </c>
    </row>
    <row r="3" spans="1:6" ht="15" customHeight="1" x14ac:dyDescent="0.35">
      <c r="A3" s="30" t="s">
        <v>28</v>
      </c>
      <c r="B3" s="31">
        <f>SUM('Harvest Log'!E4:E19)</f>
        <v>1007.5</v>
      </c>
      <c r="C3" s="32" t="s">
        <v>29</v>
      </c>
    </row>
    <row r="4" spans="1:6" ht="15" customHeight="1" x14ac:dyDescent="0.35">
      <c r="A4" s="33"/>
      <c r="B4" s="34"/>
      <c r="C4" s="35"/>
    </row>
    <row r="5" spans="1:6" ht="15" customHeight="1" x14ac:dyDescent="0.35">
      <c r="A5" s="30" t="s">
        <v>30</v>
      </c>
      <c r="B5" s="31">
        <v>600</v>
      </c>
      <c r="C5" s="32" t="s">
        <v>29</v>
      </c>
    </row>
    <row r="6" spans="1:6" ht="15" customHeight="1" x14ac:dyDescent="0.35">
      <c r="A6" s="33" t="s">
        <v>31</v>
      </c>
      <c r="B6" s="34" t="s">
        <v>29</v>
      </c>
      <c r="C6" s="35">
        <v>1000</v>
      </c>
    </row>
    <row r="7" spans="1:6" ht="15" customHeight="1" x14ac:dyDescent="0.35">
      <c r="A7" s="30" t="s">
        <v>32</v>
      </c>
      <c r="B7" s="31">
        <f>SUM('Harvest Log'!J4:J19)</f>
        <v>604500</v>
      </c>
      <c r="C7" s="32" t="s">
        <v>29</v>
      </c>
    </row>
    <row r="8" spans="1:6" ht="15" customHeight="1" x14ac:dyDescent="0.35">
      <c r="A8" s="33" t="s">
        <v>33</v>
      </c>
      <c r="B8" s="34" t="s">
        <v>29</v>
      </c>
      <c r="C8" s="35">
        <f>SUM('Harvest Log'!K4:K19)</f>
        <v>1007500</v>
      </c>
    </row>
    <row r="9" spans="1:6" ht="15" customHeight="1" x14ac:dyDescent="0.35">
      <c r="A9" s="36" t="s">
        <v>34</v>
      </c>
      <c r="B9" s="37" t="s">
        <v>29</v>
      </c>
      <c r="C9" s="38">
        <f>C8-B7</f>
        <v>403000</v>
      </c>
    </row>
    <row r="10" spans="1:6" ht="15" customHeight="1" x14ac:dyDescent="0.35">
      <c r="A10" s="36" t="s">
        <v>35</v>
      </c>
      <c r="B10" s="37" t="s">
        <v>29</v>
      </c>
      <c r="C10" s="39">
        <f>(C8-B7)/B7</f>
        <v>0.66666666666666663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zoomScale="84" zoomScaleNormal="100" workbookViewId="0">
      <selection activeCell="AU29" sqref="AU29"/>
    </sheetView>
  </sheetViews>
  <sheetFormatPr defaultColWidth="8.6328125" defaultRowHeight="14.5" x14ac:dyDescent="0.35"/>
  <cols>
    <col min="1" max="1" width="2" customWidth="1"/>
    <col min="2" max="2" width="11.7265625" bestFit="1" customWidth="1"/>
    <col min="3" max="3" width="17.1796875" style="55" bestFit="1" customWidth="1"/>
    <col min="4" max="4" width="15.7265625" style="55" bestFit="1" customWidth="1"/>
    <col min="5" max="5" width="10.36328125" style="55" bestFit="1" customWidth="1"/>
    <col min="6" max="6" width="7.81640625" bestFit="1" customWidth="1"/>
    <col min="8" max="8" width="18.08984375" bestFit="1" customWidth="1"/>
    <col min="9" max="9" width="15.7265625" style="55" bestFit="1" customWidth="1"/>
    <col min="11" max="11" width="9.90625" bestFit="1" customWidth="1"/>
    <col min="12" max="12" width="15.08984375" style="55" bestFit="1" customWidth="1"/>
    <col min="13" max="13" width="14.7265625" style="55" bestFit="1" customWidth="1"/>
  </cols>
  <sheetData>
    <row r="1" spans="1:16" ht="30" customHeight="1" x14ac:dyDescent="0.35">
      <c r="A1" s="57" t="s">
        <v>36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3" spans="1:16" x14ac:dyDescent="0.35">
      <c r="B3" t="s">
        <v>37</v>
      </c>
      <c r="C3" s="55" t="s">
        <v>38</v>
      </c>
      <c r="D3" s="55" t="s">
        <v>39</v>
      </c>
      <c r="E3" s="55" t="s">
        <v>12</v>
      </c>
      <c r="F3" t="s">
        <v>40</v>
      </c>
      <c r="H3" t="s">
        <v>7</v>
      </c>
      <c r="I3" s="55" t="s">
        <v>41</v>
      </c>
      <c r="K3" t="s">
        <v>42</v>
      </c>
      <c r="L3" s="55" t="s">
        <v>43</v>
      </c>
      <c r="M3" s="55" t="s">
        <v>44</v>
      </c>
    </row>
    <row r="4" spans="1:16" x14ac:dyDescent="0.35">
      <c r="B4" s="54">
        <v>46170</v>
      </c>
      <c r="C4" s="55">
        <v>6900</v>
      </c>
      <c r="D4" s="55">
        <v>11500</v>
      </c>
      <c r="E4" s="55">
        <f>D4-C4</f>
        <v>4600</v>
      </c>
      <c r="F4">
        <v>11.5</v>
      </c>
      <c r="H4" t="s">
        <v>14</v>
      </c>
      <c r="I4" s="55">
        <f>SUM(C4:C19)</f>
        <v>604500</v>
      </c>
      <c r="K4" t="s">
        <v>45</v>
      </c>
      <c r="L4" s="55">
        <v>100000</v>
      </c>
      <c r="M4" s="55">
        <v>5200000</v>
      </c>
    </row>
    <row r="5" spans="1:16" x14ac:dyDescent="0.35">
      <c r="B5" s="54">
        <v>46177</v>
      </c>
      <c r="C5" s="55">
        <v>12000</v>
      </c>
      <c r="D5" s="55">
        <v>20000</v>
      </c>
      <c r="E5" s="55">
        <f t="shared" ref="E5:E19" si="0">D5-C5</f>
        <v>8000</v>
      </c>
      <c r="F5">
        <v>20</v>
      </c>
      <c r="H5" t="s">
        <v>46</v>
      </c>
      <c r="I5" s="55">
        <f>SUM(D4:D19)</f>
        <v>1007500</v>
      </c>
      <c r="K5" t="s">
        <v>47</v>
      </c>
      <c r="L5" s="55">
        <v>110000</v>
      </c>
      <c r="M5" s="55">
        <v>5720000</v>
      </c>
    </row>
    <row r="6" spans="1:16" x14ac:dyDescent="0.35">
      <c r="B6" s="54">
        <v>46181</v>
      </c>
      <c r="C6" s="55">
        <v>36000</v>
      </c>
      <c r="D6" s="55">
        <v>60000</v>
      </c>
      <c r="E6" s="55">
        <f t="shared" si="0"/>
        <v>24000</v>
      </c>
      <c r="F6">
        <v>60</v>
      </c>
    </row>
    <row r="7" spans="1:16" x14ac:dyDescent="0.35">
      <c r="B7" s="54">
        <v>46184</v>
      </c>
      <c r="C7" s="55">
        <v>39600</v>
      </c>
      <c r="D7" s="55">
        <v>66000</v>
      </c>
      <c r="E7" s="55">
        <f t="shared" si="0"/>
        <v>26400</v>
      </c>
      <c r="F7">
        <v>66</v>
      </c>
      <c r="K7" t="s">
        <v>24</v>
      </c>
      <c r="L7" s="55">
        <f>SUM(L4:L5)</f>
        <v>210000</v>
      </c>
      <c r="M7" s="55">
        <f>SUM(M4:M5)</f>
        <v>10920000</v>
      </c>
    </row>
    <row r="8" spans="1:16" x14ac:dyDescent="0.35">
      <c r="B8" s="54">
        <v>46186</v>
      </c>
      <c r="C8" s="55">
        <v>27000</v>
      </c>
      <c r="D8" s="55">
        <v>45000</v>
      </c>
      <c r="E8" s="55">
        <f t="shared" si="0"/>
        <v>18000</v>
      </c>
      <c r="F8">
        <v>45</v>
      </c>
    </row>
    <row r="9" spans="1:16" x14ac:dyDescent="0.35">
      <c r="B9" s="54">
        <v>46188</v>
      </c>
      <c r="C9" s="55">
        <v>60000</v>
      </c>
      <c r="D9" s="55">
        <v>100000</v>
      </c>
      <c r="E9" s="55">
        <f t="shared" si="0"/>
        <v>40000</v>
      </c>
      <c r="F9">
        <v>100</v>
      </c>
    </row>
    <row r="10" spans="1:16" x14ac:dyDescent="0.35">
      <c r="B10" s="54">
        <v>46191</v>
      </c>
      <c r="C10" s="55">
        <v>51000</v>
      </c>
      <c r="D10" s="55">
        <v>85000</v>
      </c>
      <c r="E10" s="55">
        <f t="shared" si="0"/>
        <v>34000</v>
      </c>
      <c r="F10">
        <v>85</v>
      </c>
    </row>
    <row r="11" spans="1:16" x14ac:dyDescent="0.35">
      <c r="B11" s="54">
        <v>46193</v>
      </c>
      <c r="C11" s="55">
        <v>24000</v>
      </c>
      <c r="D11" s="55">
        <v>40000</v>
      </c>
      <c r="E11" s="55">
        <f t="shared" si="0"/>
        <v>16000</v>
      </c>
      <c r="F11">
        <v>40</v>
      </c>
    </row>
    <row r="12" spans="1:16" x14ac:dyDescent="0.35">
      <c r="B12" s="54">
        <v>46195</v>
      </c>
      <c r="C12" s="55">
        <v>78000</v>
      </c>
      <c r="D12" s="55">
        <v>130000</v>
      </c>
      <c r="E12" s="55">
        <f t="shared" si="0"/>
        <v>52000</v>
      </c>
      <c r="F12">
        <v>130</v>
      </c>
    </row>
    <row r="13" spans="1:16" x14ac:dyDescent="0.35">
      <c r="B13" s="54">
        <v>46197</v>
      </c>
      <c r="C13" s="55">
        <v>30000</v>
      </c>
      <c r="D13" s="55">
        <v>50000</v>
      </c>
      <c r="E13" s="55">
        <f t="shared" si="0"/>
        <v>20000</v>
      </c>
      <c r="F13" s="55">
        <v>50</v>
      </c>
    </row>
    <row r="14" spans="1:16" x14ac:dyDescent="0.35">
      <c r="B14" s="54">
        <v>46198</v>
      </c>
      <c r="C14" s="55">
        <v>72000</v>
      </c>
      <c r="D14" s="55">
        <v>120000</v>
      </c>
      <c r="E14" s="55">
        <f t="shared" si="0"/>
        <v>48000</v>
      </c>
      <c r="F14" s="55">
        <v>120</v>
      </c>
    </row>
    <row r="15" spans="1:16" x14ac:dyDescent="0.35">
      <c r="B15" s="54">
        <v>46200</v>
      </c>
      <c r="C15" s="55">
        <v>41400</v>
      </c>
      <c r="D15" s="55">
        <v>69000</v>
      </c>
      <c r="E15" s="55">
        <f t="shared" si="0"/>
        <v>27600</v>
      </c>
      <c r="F15" s="55">
        <v>69</v>
      </c>
    </row>
    <row r="16" spans="1:16" x14ac:dyDescent="0.35">
      <c r="B16" s="54">
        <v>46202</v>
      </c>
      <c r="C16" s="55">
        <v>48000</v>
      </c>
      <c r="D16" s="55">
        <v>80000</v>
      </c>
      <c r="E16" s="55">
        <f t="shared" si="0"/>
        <v>32000</v>
      </c>
      <c r="F16" s="55">
        <v>60</v>
      </c>
    </row>
    <row r="17" spans="2:6" x14ac:dyDescent="0.35">
      <c r="B17" s="54">
        <v>46204</v>
      </c>
      <c r="C17" s="55">
        <v>30000</v>
      </c>
      <c r="D17" s="55">
        <v>50000</v>
      </c>
      <c r="E17" s="55">
        <f t="shared" si="0"/>
        <v>20000</v>
      </c>
      <c r="F17" s="55">
        <v>59</v>
      </c>
    </row>
    <row r="18" spans="2:6" x14ac:dyDescent="0.35">
      <c r="B18" s="54">
        <v>46205</v>
      </c>
      <c r="C18" s="55">
        <v>13800</v>
      </c>
      <c r="D18" s="55">
        <v>23000</v>
      </c>
      <c r="E18" s="55">
        <f t="shared" si="0"/>
        <v>9200</v>
      </c>
      <c r="F18" s="55">
        <v>23</v>
      </c>
    </row>
    <row r="19" spans="2:6" x14ac:dyDescent="0.35">
      <c r="B19" s="54">
        <v>46207</v>
      </c>
      <c r="C19" s="55">
        <v>34800</v>
      </c>
      <c r="D19" s="55">
        <v>58000</v>
      </c>
      <c r="E19" s="55">
        <f t="shared" si="0"/>
        <v>23200</v>
      </c>
      <c r="F19" s="55">
        <v>58</v>
      </c>
    </row>
    <row r="26" spans="2:6" x14ac:dyDescent="0.35">
      <c r="C26" s="56"/>
    </row>
    <row r="27" spans="2:6" x14ac:dyDescent="0.35">
      <c r="C27" s="56"/>
    </row>
    <row r="28" spans="2:6" x14ac:dyDescent="0.35">
      <c r="C28" s="56"/>
    </row>
    <row r="29" spans="2:6" x14ac:dyDescent="0.35">
      <c r="C29" s="56"/>
    </row>
    <row r="30" spans="2:6" x14ac:dyDescent="0.35">
      <c r="C30" s="56"/>
    </row>
    <row r="31" spans="2:6" x14ac:dyDescent="0.35">
      <c r="C31" s="56"/>
    </row>
    <row r="32" spans="2:6" x14ac:dyDescent="0.35">
      <c r="C32" s="56"/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zoomScaleNormal="100" workbookViewId="0">
      <selection sqref="A1:G1"/>
    </sheetView>
  </sheetViews>
  <sheetFormatPr defaultColWidth="8.6328125" defaultRowHeight="14.5" x14ac:dyDescent="0.35"/>
  <cols>
    <col min="1" max="1" width="22" customWidth="1"/>
    <col min="2" max="2" width="14" customWidth="1"/>
    <col min="3" max="3" width="15" customWidth="1"/>
    <col min="4" max="5" width="16" customWidth="1"/>
    <col min="6" max="7" width="20" customWidth="1"/>
  </cols>
  <sheetData>
    <row r="1" spans="1:7" ht="25.5" customHeight="1" x14ac:dyDescent="0.35">
      <c r="A1" s="61" t="s">
        <v>48</v>
      </c>
      <c r="B1" s="61"/>
      <c r="C1" s="61"/>
      <c r="D1" s="61"/>
      <c r="E1" s="61"/>
      <c r="F1" s="61"/>
      <c r="G1" s="61"/>
    </row>
    <row r="2" spans="1:7" ht="15" customHeight="1" x14ac:dyDescent="0.35">
      <c r="A2" s="59" t="s">
        <v>49</v>
      </c>
      <c r="B2" s="59"/>
      <c r="C2" s="59"/>
      <c r="D2" s="59"/>
      <c r="E2" s="59"/>
      <c r="F2" s="59"/>
      <c r="G2" s="59"/>
    </row>
    <row r="3" spans="1:7" ht="27.75" customHeight="1" x14ac:dyDescent="0.35">
      <c r="A3" s="1" t="s">
        <v>42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</row>
    <row r="4" spans="1:7" ht="31.5" customHeight="1" x14ac:dyDescent="0.35">
      <c r="A4" s="62" t="s">
        <v>56</v>
      </c>
      <c r="B4" s="62"/>
      <c r="C4" s="62"/>
      <c r="D4" s="62"/>
      <c r="E4" s="62"/>
      <c r="F4" s="62"/>
      <c r="G4" s="62"/>
    </row>
    <row r="5" spans="1:7" ht="15" customHeight="1" x14ac:dyDescent="0.35">
      <c r="A5" s="40" t="s">
        <v>57</v>
      </c>
    </row>
    <row r="6" spans="1:7" ht="36" customHeight="1" x14ac:dyDescent="0.35">
      <c r="A6" s="1" t="s">
        <v>42</v>
      </c>
      <c r="B6" s="1" t="s">
        <v>50</v>
      </c>
      <c r="C6" s="1" t="s">
        <v>51</v>
      </c>
      <c r="D6" s="1" t="s">
        <v>58</v>
      </c>
      <c r="E6" s="1" t="s">
        <v>59</v>
      </c>
      <c r="F6" s="1" t="s">
        <v>43</v>
      </c>
      <c r="G6" s="1" t="s">
        <v>44</v>
      </c>
    </row>
    <row r="7" spans="1:7" ht="15" customHeight="1" x14ac:dyDescent="0.35">
      <c r="A7" s="41" t="s">
        <v>45</v>
      </c>
      <c r="B7" s="8" t="s">
        <v>60</v>
      </c>
      <c r="C7" s="42">
        <v>1000</v>
      </c>
      <c r="D7" s="8">
        <v>2</v>
      </c>
      <c r="E7" s="43">
        <v>50</v>
      </c>
      <c r="F7" s="10">
        <f>C7*D7*E7</f>
        <v>100000</v>
      </c>
      <c r="G7" s="10">
        <f>F7*52</f>
        <v>5200000</v>
      </c>
    </row>
    <row r="8" spans="1:7" ht="15" customHeight="1" x14ac:dyDescent="0.35">
      <c r="A8" s="41" t="s">
        <v>47</v>
      </c>
      <c r="B8" s="8" t="s">
        <v>60</v>
      </c>
      <c r="C8" s="42">
        <v>1100</v>
      </c>
      <c r="D8" s="8">
        <v>2</v>
      </c>
      <c r="E8" s="43">
        <v>50</v>
      </c>
      <c r="F8" s="10">
        <f>C8*D8*E8</f>
        <v>110000</v>
      </c>
      <c r="G8" s="10">
        <f>F8*52</f>
        <v>5720000</v>
      </c>
    </row>
    <row r="9" spans="1:7" ht="15" customHeight="1" x14ac:dyDescent="0.35">
      <c r="A9" s="63" t="s">
        <v>61</v>
      </c>
      <c r="B9" s="63"/>
      <c r="C9" s="63"/>
      <c r="D9" s="63"/>
      <c r="E9" s="63"/>
      <c r="F9" s="19">
        <f>SUM(F7:F8)</f>
        <v>210000</v>
      </c>
      <c r="G9" s="19">
        <f>SUM(G7:G8)</f>
        <v>10920000</v>
      </c>
    </row>
  </sheetData>
  <mergeCells count="4">
    <mergeCell ref="A1:G1"/>
    <mergeCell ref="A2:G2"/>
    <mergeCell ref="A4:G4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zoomScaleNormal="100" workbookViewId="0">
      <selection activeCell="B7" sqref="B7"/>
    </sheetView>
  </sheetViews>
  <sheetFormatPr defaultColWidth="8.6328125" defaultRowHeight="14.5" x14ac:dyDescent="0.35"/>
  <cols>
    <col min="1" max="1" width="30" customWidth="1"/>
    <col min="2" max="3" width="22" customWidth="1"/>
    <col min="4" max="5" width="18" customWidth="1"/>
  </cols>
  <sheetData>
    <row r="1" spans="1:5" ht="25.5" customHeight="1" x14ac:dyDescent="0.35">
      <c r="A1" s="61" t="s">
        <v>62</v>
      </c>
      <c r="B1" s="61"/>
      <c r="C1" s="61"/>
      <c r="D1" s="61"/>
      <c r="E1" s="61"/>
    </row>
    <row r="2" spans="1:5" ht="21.75" customHeight="1" x14ac:dyDescent="0.35">
      <c r="A2" s="1" t="s">
        <v>63</v>
      </c>
      <c r="B2" s="1" t="s">
        <v>14</v>
      </c>
      <c r="C2" s="1" t="s">
        <v>15</v>
      </c>
      <c r="D2" s="1" t="s">
        <v>64</v>
      </c>
      <c r="E2" s="1" t="s">
        <v>65</v>
      </c>
    </row>
    <row r="3" spans="1:5" ht="21.75" customHeight="1" x14ac:dyDescent="0.35">
      <c r="A3" s="44" t="s">
        <v>66</v>
      </c>
      <c r="B3" s="45">
        <v>600</v>
      </c>
      <c r="C3" s="45">
        <v>1050</v>
      </c>
      <c r="D3" s="45">
        <f>C3-B3</f>
        <v>450</v>
      </c>
      <c r="E3" s="46" t="s">
        <v>67</v>
      </c>
    </row>
    <row r="4" spans="1:5" ht="21.75" customHeight="1" x14ac:dyDescent="0.35">
      <c r="A4" s="47" t="s">
        <v>68</v>
      </c>
      <c r="B4" s="48"/>
      <c r="C4" s="49">
        <f>C3-B3</f>
        <v>450</v>
      </c>
      <c r="D4" s="48"/>
      <c r="E4" s="50"/>
    </row>
    <row r="5" spans="1:5" ht="21.75" customHeight="1" x14ac:dyDescent="0.35">
      <c r="A5" s="44" t="s">
        <v>69</v>
      </c>
      <c r="B5" s="51"/>
      <c r="C5" s="52">
        <f>C3/B3-1</f>
        <v>0.75</v>
      </c>
      <c r="D5" s="52"/>
      <c r="E5" s="46"/>
    </row>
    <row r="6" spans="1:5" ht="21.75" customHeight="1" x14ac:dyDescent="0.35">
      <c r="A6" s="47" t="s">
        <v>70</v>
      </c>
      <c r="B6" s="49">
        <f>'Revenue Comparison'!B7</f>
        <v>604500</v>
      </c>
      <c r="C6" s="49">
        <f>'Revenue Comparison'!C8</f>
        <v>1007500</v>
      </c>
      <c r="D6" s="49">
        <f>'Revenue Comparison'!C8-'Revenue Comparison'!B7</f>
        <v>403000</v>
      </c>
      <c r="E6" s="50" t="s">
        <v>71</v>
      </c>
    </row>
    <row r="7" spans="1:5" ht="21.75" customHeight="1" x14ac:dyDescent="0.35">
      <c r="A7" s="44" t="s">
        <v>72</v>
      </c>
      <c r="B7" s="51" t="s">
        <v>73</v>
      </c>
      <c r="C7" s="51" t="s">
        <v>74</v>
      </c>
      <c r="D7" s="51" t="s">
        <v>75</v>
      </c>
      <c r="E7" s="46" t="s">
        <v>76</v>
      </c>
    </row>
    <row r="8" spans="1:5" ht="21.75" customHeight="1" x14ac:dyDescent="0.35">
      <c r="A8" s="47" t="s">
        <v>77</v>
      </c>
      <c r="B8" s="48" t="s">
        <v>78</v>
      </c>
      <c r="C8" s="48" t="s">
        <v>79</v>
      </c>
      <c r="D8" s="48" t="s">
        <v>80</v>
      </c>
      <c r="E8" s="50" t="s">
        <v>81</v>
      </c>
    </row>
    <row r="9" spans="1:5" ht="21.75" customHeight="1" x14ac:dyDescent="0.35">
      <c r="A9" s="44" t="s">
        <v>82</v>
      </c>
      <c r="B9" s="51" t="s">
        <v>83</v>
      </c>
      <c r="C9" s="51" t="s">
        <v>84</v>
      </c>
      <c r="D9" s="51" t="s">
        <v>85</v>
      </c>
      <c r="E9" s="46" t="s">
        <v>86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Harvest Log</vt:lpstr>
      <vt:lpstr>Revenue Comparison</vt:lpstr>
      <vt:lpstr>Charts</vt:lpstr>
      <vt:lpstr>Weekly Revenue Potential</vt:lpstr>
      <vt:lpstr>Lingr Network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Emmanuel Agwanyang</cp:lastModifiedBy>
  <cp:revision>1</cp:revision>
  <dcterms:created xsi:type="dcterms:W3CDTF">2026-06-23T10:19:29Z</dcterms:created>
  <dcterms:modified xsi:type="dcterms:W3CDTF">2026-07-11T16:29:14Z</dcterms:modified>
  <dc:language>en-US</dc:language>
</cp:coreProperties>
</file>